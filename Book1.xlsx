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us\Desktop\customer-churn-retention-analysis\Excel\"/>
    </mc:Choice>
  </mc:AlternateContent>
  <xr:revisionPtr revIDLastSave="0" documentId="13_ncr:1_{248E240A-0598-4A76-93D3-333292667ECC}" xr6:coauthVersionLast="47" xr6:coauthVersionMax="47" xr10:uidLastSave="{00000000-0000-0000-0000-000000000000}"/>
  <bookViews>
    <workbookView xWindow="-108" yWindow="-108" windowWidth="23256" windowHeight="12456" activeTab="1" xr2:uid="{DBE519D3-801B-4037-9E26-A79654CBCC2D}"/>
  </bookViews>
  <sheets>
    <sheet name="Customer_Data" sheetId="2" r:id="rId1"/>
    <sheet name="Churn_Summary" sheetId="1" r:id="rId2"/>
  </sheets>
  <definedNames>
    <definedName name="ExternalData_1" localSheetId="0" hidden="1">Customer_Data!$A$1:$U$7044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F25" i="1"/>
  <c r="E25" i="1"/>
  <c r="G23" i="1"/>
  <c r="G24" i="1"/>
  <c r="F23" i="1"/>
  <c r="F24" i="1"/>
  <c r="E23" i="1"/>
  <c r="E24" i="1"/>
  <c r="G22" i="1"/>
  <c r="F22" i="1"/>
  <c r="E22" i="1"/>
  <c r="G18" i="1"/>
  <c r="G17" i="1"/>
  <c r="G16" i="1"/>
  <c r="F18" i="1"/>
  <c r="F17" i="1"/>
  <c r="F16" i="1"/>
  <c r="E18" i="1"/>
  <c r="E17" i="1"/>
  <c r="E16" i="1"/>
  <c r="G12" i="1"/>
  <c r="G11" i="1"/>
  <c r="G10" i="1"/>
  <c r="F12" i="1"/>
  <c r="F11" i="1"/>
  <c r="F10" i="1"/>
  <c r="E12" i="1"/>
  <c r="E11" i="1"/>
  <c r="E10" i="1"/>
  <c r="E4" i="1"/>
  <c r="E5" i="1"/>
  <c r="B3" i="1"/>
  <c r="B7" i="1" s="1"/>
  <c r="B5" i="1"/>
  <c r="B4" i="1"/>
  <c r="B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448490-2BC1-482D-8C54-E14B4E1F9597}" keepAlive="1" name="Query - telco_churn_cleaned" description="Connection to the 'telco_churn_cleaned' query in the workbook." type="5" refreshedVersion="8" background="1" saveData="1">
    <dbPr connection="Provider=Microsoft.Mashup.OleDb.1;Data Source=$Workbook$;Location=telco_churn_cleaned;Extended Properties=&quot;&quot;" command="SELECT * FROM [telco_churn_cleaned]"/>
  </connection>
</connections>
</file>

<file path=xl/sharedStrings.xml><?xml version="1.0" encoding="utf-8"?>
<sst xmlns="http://schemas.openxmlformats.org/spreadsheetml/2006/main" count="119785" uniqueCount="7096">
  <si>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</si>
  <si>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</si>
  <si>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</si>
  <si>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</si>
  <si>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</si>
  <si>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</si>
  <si>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</si>
  <si>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</si>
  <si>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</si>
  <si>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</si>
  <si>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</si>
  <si>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</si>
  <si>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</si>
  <si>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</si>
  <si>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</si>
  <si>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</si>
  <si>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</si>
  <si>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</si>
  <si>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</si>
  <si>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</si>
  <si>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</si>
  <si>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</si>
  <si>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</si>
  <si>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</si>
  <si>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</si>
  <si>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</si>
  <si>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</si>
  <si>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</si>
  <si>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</si>
  <si>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</si>
  <si>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</si>
  <si>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</si>
  <si>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</si>
  <si>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</si>
  <si>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</si>
  <si>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</si>
  <si>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</si>
  <si>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</si>
  <si>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</si>
  <si>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</si>
  <si>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</si>
  <si>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</si>
  <si>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</si>
  <si>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</si>
  <si>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</si>
  <si>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</si>
  <si>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</si>
  <si>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</si>
  <si>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</si>
  <si>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</si>
  <si>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</si>
  <si>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</si>
  <si>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</si>
  <si>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</si>
  <si>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</si>
  <si>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</si>
  <si>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</si>
  <si>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</si>
  <si>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</si>
  <si>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</si>
  <si>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</si>
  <si>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</si>
  <si>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</si>
  <si>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</si>
  <si>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</si>
  <si>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</si>
  <si>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</si>
  <si>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</si>
  <si>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</si>
  <si>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</si>
  <si>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</si>
  <si>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</si>
  <si>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</si>
  <si>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</si>
  <si>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</si>
  <si>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</si>
  <si>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</si>
  <si>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</si>
  <si>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</si>
  <si>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</si>
  <si>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</si>
  <si>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</si>
  <si>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</si>
  <si>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</si>
  <si>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</si>
  <si>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</si>
  <si>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</si>
  <si>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</si>
  <si>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</si>
  <si>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</si>
  <si>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</si>
  <si>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</si>
  <si>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</si>
  <si>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</si>
  <si>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</si>
  <si>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</si>
  <si>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</si>
  <si>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</si>
  <si>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</si>
  <si>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</si>
  <si>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</si>
  <si>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</si>
  <si>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</si>
  <si>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</si>
  <si>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</si>
  <si>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</si>
  <si>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</si>
  <si>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</si>
  <si>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</si>
  <si>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</si>
  <si>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</si>
  <si>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</si>
  <si>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</si>
  <si>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</si>
  <si>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</si>
  <si>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</si>
  <si>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</si>
  <si>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</si>
  <si>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</si>
  <si>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</si>
  <si>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</si>
  <si>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</si>
  <si>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</si>
  <si>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</si>
  <si>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</si>
  <si>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</si>
  <si>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</si>
  <si>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</si>
  <si>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</si>
  <si>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</si>
  <si>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</si>
  <si>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</si>
  <si>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</si>
  <si>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</si>
  <si>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</si>
  <si>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</si>
  <si>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</si>
  <si>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</si>
  <si>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</si>
  <si>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</si>
  <si>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</si>
  <si>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</si>
  <si>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</si>
  <si>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</si>
  <si>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</si>
  <si>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</si>
  <si>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</si>
  <si>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</si>
  <si>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</si>
  <si>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</si>
  <si>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</si>
  <si>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</si>
  <si>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</si>
  <si>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</si>
  <si>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</si>
  <si>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</si>
  <si>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</si>
  <si>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</si>
  <si>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</si>
  <si>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</si>
  <si>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</si>
  <si>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</si>
  <si>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</si>
  <si>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</si>
  <si>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</si>
  <si>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</si>
  <si>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</si>
  <si>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</si>
  <si>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</si>
  <si>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</si>
  <si>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</si>
  <si>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</si>
  <si>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</si>
  <si>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</si>
  <si>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</si>
  <si>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</si>
  <si>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</si>
  <si>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</si>
  <si>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</si>
  <si>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</si>
  <si>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</si>
  <si>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</si>
  <si>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</si>
  <si>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</si>
  <si>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</si>
  <si>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</si>
  <si>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</si>
  <si>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</si>
  <si>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</si>
  <si>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</si>
  <si>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</si>
  <si>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</si>
  <si>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</si>
  <si>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</si>
  <si>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</si>
  <si>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</si>
  <si>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</si>
  <si>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</si>
  <si>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</si>
  <si>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</si>
  <si>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</si>
  <si>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</si>
  <si>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</si>
  <si>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</si>
  <si>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</si>
  <si>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</si>
  <si>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</si>
  <si>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</si>
  <si>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</si>
  <si>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</si>
  <si>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</si>
  <si>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</si>
  <si>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</si>
  <si>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</si>
  <si>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</si>
  <si>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</si>
  <si>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</si>
  <si>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</si>
  <si>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</si>
  <si>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</si>
  <si>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</si>
  <si>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</si>
  <si>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</si>
  <si>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</si>
  <si>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</si>
  <si>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</si>
  <si>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</si>
  <si>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</si>
  <si>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</si>
  <si>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</si>
  <si>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</si>
  <si>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</si>
  <si>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</si>
  <si>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</si>
  <si>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</si>
  <si>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</si>
  <si>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</si>
  <si>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</si>
  <si>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</si>
  <si>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</si>
  <si>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</si>
  <si>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</si>
  <si>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</si>
  <si>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</si>
  <si>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</si>
  <si>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</si>
  <si>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</si>
  <si>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</si>
  <si>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</si>
  <si>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</si>
  <si>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</si>
  <si>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</si>
  <si>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</si>
  <si>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</si>
  <si>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</si>
  <si>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</si>
  <si>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</si>
  <si>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</si>
  <si>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</si>
  <si>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</si>
  <si>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</si>
  <si>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</si>
  <si>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</si>
  <si>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</si>
  <si>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</si>
  <si>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</si>
  <si>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</si>
  <si>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</si>
  <si>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</si>
  <si>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</si>
  <si>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</si>
  <si>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</si>
  <si>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</si>
  <si>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</si>
  <si>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</si>
  <si>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</si>
  <si>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</si>
  <si>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</si>
  <si>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</si>
  <si>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</si>
  <si>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</si>
  <si>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</si>
  <si>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</si>
  <si>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</si>
  <si>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</si>
  <si>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</si>
  <si>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</si>
  <si>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</si>
  <si>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</si>
  <si>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</si>
  <si>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</si>
  <si>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</si>
  <si>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</si>
  <si>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</si>
  <si>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</si>
  <si>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</si>
  <si>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</si>
  <si>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</si>
  <si>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</si>
  <si>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</si>
  <si>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</si>
  <si>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</si>
  <si>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</si>
  <si>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</si>
  <si>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</si>
  <si>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</si>
  <si>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</si>
  <si>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</si>
  <si>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</si>
  <si>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</si>
  <si>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</si>
  <si>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</si>
  <si>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</si>
  <si>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</si>
  <si>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</si>
  <si>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</si>
  <si>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</si>
  <si>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</si>
  <si>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</si>
  <si>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</si>
  <si>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</si>
  <si>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</si>
  <si>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</si>
  <si>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</si>
  <si>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</si>
  <si>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</si>
  <si>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</si>
  <si>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</si>
  <si>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</si>
  <si>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</si>
  <si>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</si>
  <si>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</si>
  <si>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</si>
  <si>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</si>
  <si>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</si>
  <si>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</si>
  <si>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</si>
  <si>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</si>
  <si>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</si>
  <si>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</si>
  <si>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</si>
  <si>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</si>
  <si>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</si>
  <si>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</si>
  <si>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</si>
  <si>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</si>
  <si>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</si>
  <si>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</si>
  <si>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</si>
  <si>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</si>
  <si>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</si>
  <si>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</si>
  <si>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</si>
  <si>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</si>
  <si>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</si>
  <si>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</si>
  <si>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</si>
  <si>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</si>
  <si>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</si>
  <si>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</si>
  <si>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</si>
  <si>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</si>
  <si>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</si>
  <si>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</si>
  <si>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</si>
  <si>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</si>
  <si>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</si>
  <si>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</si>
  <si>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</si>
  <si>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</si>
  <si>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</si>
  <si>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</si>
  <si>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</si>
  <si>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</si>
  <si>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</si>
  <si>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</si>
  <si>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</si>
  <si>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</si>
  <si>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</si>
  <si>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</si>
  <si>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</si>
  <si>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</si>
  <si>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</si>
  <si>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</si>
  <si>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</si>
  <si>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</si>
  <si>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</si>
  <si>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</si>
  <si>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</si>
  <si>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</si>
  <si>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</si>
  <si>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</si>
  <si>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</si>
  <si>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</si>
  <si>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</si>
  <si>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</si>
  <si>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</si>
  <si>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</si>
  <si>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</si>
  <si>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</si>
  <si>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</si>
  <si>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</si>
  <si>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</si>
  <si>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</si>
  <si>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</si>
  <si>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</si>
  <si>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</si>
  <si>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</si>
  <si>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</si>
  <si>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</si>
  <si>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</si>
  <si>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</si>
  <si>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</si>
  <si>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</si>
  <si>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</si>
  <si>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</si>
  <si>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</si>
  <si>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</si>
  <si>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</si>
  <si>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</si>
  <si>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</si>
  <si>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</si>
  <si>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</si>
  <si>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</si>
  <si>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</si>
  <si>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</si>
  <si>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</si>
  <si>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</si>
  <si>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</si>
  <si>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</si>
  <si>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</si>
  <si>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</si>
  <si>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</si>
  <si>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</si>
  <si>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</si>
  <si>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</si>
  <si>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</si>
  <si>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</si>
  <si>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</si>
  <si>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</si>
  <si>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</si>
  <si>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</si>
  <si>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</si>
  <si>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</si>
  <si>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</si>
  <si>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</si>
  <si>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</si>
  <si>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</si>
  <si>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</si>
  <si>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</si>
  <si>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</si>
  <si>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</si>
  <si>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</si>
  <si>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</si>
  <si>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</si>
  <si>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</si>
  <si>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</si>
  <si>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</si>
  <si>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</si>
  <si>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</si>
  <si>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</si>
  <si>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</si>
  <si>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</si>
  <si>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</si>
  <si>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</si>
  <si>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</si>
  <si>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</si>
  <si>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</si>
  <si>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</si>
  <si>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</si>
  <si>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</si>
  <si>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</si>
  <si>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</si>
  <si>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</si>
  <si>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</si>
  <si>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</si>
  <si>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</si>
  <si>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</si>
  <si>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</si>
  <si>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</si>
  <si>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</si>
  <si>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</si>
  <si>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</si>
  <si>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</si>
  <si>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</si>
  <si>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</si>
  <si>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</si>
  <si>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</si>
  <si>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</si>
  <si>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</si>
  <si>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</si>
  <si>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</si>
  <si>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</si>
  <si>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</si>
  <si>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</si>
  <si>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</si>
  <si>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</si>
  <si>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</si>
  <si>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</si>
  <si>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</si>
  <si>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</si>
  <si>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</si>
  <si>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</si>
  <si>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</si>
  <si>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</si>
  <si>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</si>
  <si>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</si>
  <si>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</si>
  <si>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</si>
  <si>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</si>
  <si>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</si>
  <si>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</si>
  <si>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</si>
  <si>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</si>
  <si>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</si>
  <si>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</si>
  <si>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</si>
  <si>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</si>
  <si>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</si>
  <si>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</si>
  <si>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</si>
  <si>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</si>
  <si>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</si>
  <si>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</si>
  <si>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</si>
  <si>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</si>
  <si>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</si>
  <si>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</si>
  <si>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</si>
  <si>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</si>
  <si>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</si>
  <si>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</si>
  <si>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</si>
  <si>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</si>
  <si>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</si>
  <si>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</si>
  <si>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</si>
  <si>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</si>
  <si>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</si>
  <si>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</si>
  <si>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</si>
  <si>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</si>
  <si>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</si>
  <si>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</si>
  <si>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</si>
  <si>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</si>
  <si>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</si>
  <si>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</si>
  <si>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</si>
  <si>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</si>
  <si>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</si>
  <si>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</si>
  <si>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</si>
  <si>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</si>
  <si>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</si>
  <si>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</si>
  <si>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</si>
  <si>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</si>
  <si>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</si>
  <si>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</si>
  <si>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</si>
  <si>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</si>
  <si>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</si>
  <si>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</si>
  <si>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</si>
  <si>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</si>
  <si>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</si>
  <si>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</si>
  <si>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</si>
  <si>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</si>
  <si>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</si>
  <si>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</si>
  <si>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</si>
  <si>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</si>
  <si>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</si>
  <si>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</si>
  <si>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</si>
  <si>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</si>
  <si>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</si>
  <si>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</si>
  <si>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</si>
  <si>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</si>
  <si>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</si>
  <si>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</si>
  <si>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</si>
  <si>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</si>
  <si>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</si>
  <si>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</si>
  <si>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</si>
  <si>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</si>
  <si>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</si>
  <si>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</si>
  <si>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</si>
  <si>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</si>
  <si>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</si>
  <si>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</si>
  <si>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</si>
  <si>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</si>
  <si>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</si>
  <si>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</si>
  <si>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</si>
  <si>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</si>
  <si>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</si>
  <si>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</si>
  <si>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</si>
  <si>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</si>
  <si>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</si>
  <si>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</si>
  <si>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</si>
  <si>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</si>
  <si>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</si>
  <si>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</si>
  <si>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</si>
  <si>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</si>
  <si>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</si>
  <si>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</si>
  <si>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</si>
  <si>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</si>
  <si>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</si>
  <si>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</si>
  <si>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</si>
  <si>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</si>
  <si>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</si>
  <si>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</si>
  <si>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</si>
  <si>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</si>
  <si>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</si>
  <si>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</si>
  <si>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</si>
  <si>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</si>
  <si>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</si>
  <si>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</si>
  <si>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</si>
  <si>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</si>
  <si>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</si>
  <si>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</si>
  <si>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</si>
  <si>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</si>
  <si>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</si>
  <si>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</si>
  <si>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</si>
  <si>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</si>
  <si>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</si>
  <si>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</si>
  <si>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</si>
  <si>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</si>
  <si>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</si>
  <si>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</si>
  <si>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</si>
  <si>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</si>
  <si>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</si>
  <si>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</si>
  <si>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</si>
  <si>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</si>
  <si>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</si>
  <si>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</si>
  <si>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</si>
  <si>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</si>
  <si>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</si>
  <si>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</si>
  <si>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</si>
  <si>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</si>
  <si>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</si>
  <si>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</si>
  <si>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</si>
  <si>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</si>
  <si>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</si>
  <si>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</si>
  <si>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</si>
  <si>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</si>
  <si>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</si>
  <si>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</si>
  <si>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</si>
  <si>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</si>
  <si>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</si>
  <si>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</si>
  <si>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</si>
  <si>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</si>
  <si>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</si>
  <si>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</si>
  <si>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</si>
  <si>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</si>
  <si>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</si>
  <si>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</si>
  <si>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</si>
  <si>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</si>
  <si>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</si>
  <si>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</si>
  <si>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</si>
  <si>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</si>
  <si>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</si>
  <si>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</si>
  <si>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</si>
  <si>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</si>
  <si>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</si>
  <si>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</si>
  <si>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</si>
  <si>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</si>
  <si>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</si>
  <si>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</si>
  <si>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</si>
  <si>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</si>
  <si>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</si>
  <si>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</si>
  <si>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</si>
  <si>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</si>
  <si>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</si>
  <si>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</si>
  <si>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</si>
  <si>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</si>
  <si>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</si>
  <si>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</si>
  <si>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</si>
  <si>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</si>
  <si>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</si>
  <si>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</si>
  <si>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</si>
  <si>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</si>
  <si>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</si>
  <si>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</si>
  <si>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</si>
  <si>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</si>
  <si>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</si>
  <si>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</si>
  <si>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</si>
  <si>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</si>
  <si>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</si>
  <si>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</si>
  <si>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</si>
  <si>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</si>
  <si>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</si>
  <si>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</si>
  <si>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</si>
  <si>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</si>
  <si>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</si>
  <si>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</si>
  <si>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</si>
  <si>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</si>
  <si>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</si>
  <si>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</si>
  <si>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</si>
  <si>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</si>
  <si>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</si>
  <si>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</si>
  <si>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</si>
  <si>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</si>
  <si>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</si>
  <si>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</si>
  <si>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</si>
  <si>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</si>
  <si>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</si>
  <si>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</si>
  <si>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</si>
  <si>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</si>
  <si>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</si>
  <si>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</si>
  <si>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</si>
  <si>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</si>
  <si>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</si>
  <si>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</si>
  <si>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</si>
  <si>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</si>
  <si>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</si>
  <si>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</si>
  <si>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</si>
  <si>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</si>
  <si>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</si>
  <si>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</si>
  <si>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</si>
  <si>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</si>
  <si>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</si>
  <si>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</si>
  <si>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</si>
  <si>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</si>
  <si>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</si>
  <si>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</si>
  <si>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</si>
  <si>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</si>
  <si>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</si>
  <si>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</si>
  <si>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</si>
  <si>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</si>
  <si>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</si>
  <si>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</si>
  <si>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</si>
  <si>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</si>
  <si>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</si>
  <si>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</si>
  <si>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</si>
  <si>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</si>
  <si>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</si>
  <si>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</si>
  <si>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</si>
  <si>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</si>
  <si>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</si>
  <si>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</si>
  <si>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</si>
  <si>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</si>
  <si>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</si>
  <si>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</si>
  <si>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</si>
  <si>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</si>
  <si>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</si>
  <si>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</si>
  <si>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</si>
  <si>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</si>
  <si>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</si>
  <si>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</si>
  <si>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</si>
  <si>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</si>
  <si>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</si>
  <si>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</si>
  <si>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</si>
  <si>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</si>
  <si>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</si>
  <si>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</si>
  <si>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</si>
  <si>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</si>
  <si>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</si>
  <si>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</si>
  <si>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</si>
  <si>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</si>
  <si>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</si>
  <si>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</si>
  <si>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</si>
  <si>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</si>
  <si>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</si>
  <si>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</si>
  <si>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</si>
  <si>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</si>
  <si>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</si>
  <si>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</si>
  <si>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</si>
  <si>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</si>
  <si>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</si>
  <si>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</si>
  <si>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</si>
  <si>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</si>
  <si>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</si>
  <si>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</si>
  <si>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</si>
  <si>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</si>
  <si>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</si>
  <si>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</si>
  <si>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</si>
  <si>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</si>
  <si>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</si>
  <si>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</si>
  <si>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</si>
  <si>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</si>
  <si>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</si>
  <si>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</si>
  <si>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</si>
  <si>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</si>
  <si>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</si>
  <si>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</si>
  <si>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</si>
  <si>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</si>
  <si>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</si>
  <si>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</si>
  <si>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</si>
  <si>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</si>
  <si>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</si>
  <si>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</si>
  <si>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</si>
  <si>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</si>
  <si>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</si>
  <si>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</si>
  <si>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</si>
  <si>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</si>
  <si>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</si>
  <si>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</si>
  <si>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</si>
  <si>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</si>
  <si>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</si>
  <si>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</si>
  <si>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</si>
  <si>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</si>
  <si>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</si>
  <si>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</si>
  <si>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</si>
  <si>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</si>
  <si>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</si>
  <si>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</si>
  <si>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</si>
  <si>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</si>
  <si>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</si>
  <si>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</si>
  <si>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</si>
  <si>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</si>
  <si>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</si>
  <si>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</si>
  <si>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</si>
  <si>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</si>
  <si>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</si>
  <si>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</si>
  <si>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</si>
  <si>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</si>
  <si>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</si>
  <si>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</si>
  <si>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</si>
  <si>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</si>
  <si>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</si>
  <si>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</si>
  <si>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</si>
  <si>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</si>
  <si>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</si>
  <si>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</si>
  <si>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</si>
  <si>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</si>
  <si>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</si>
  <si>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</si>
  <si>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</si>
  <si>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</si>
  <si>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</si>
  <si>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</si>
  <si>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</si>
  <si>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</si>
  <si>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</si>
  <si>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</si>
  <si>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</si>
  <si>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</si>
  <si>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</si>
  <si>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</si>
  <si>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</si>
  <si>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</si>
  <si>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</si>
  <si>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</si>
  <si>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</si>
  <si>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</si>
  <si>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</si>
  <si>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</si>
  <si>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</si>
  <si>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</si>
  <si>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</si>
  <si>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</si>
  <si>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</si>
  <si>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</si>
  <si>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</si>
  <si>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</si>
  <si>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</si>
  <si>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</si>
  <si>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</si>
  <si>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</si>
  <si>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</si>
  <si>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</si>
  <si>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</si>
  <si>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</si>
  <si>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</si>
  <si>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</si>
  <si>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</si>
  <si>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</si>
  <si>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</si>
  <si>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</si>
  <si>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</si>
  <si>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</si>
  <si>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</si>
  <si>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</si>
  <si>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</si>
  <si>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</si>
  <si>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</si>
  <si>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</si>
  <si>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</si>
  <si>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</si>
  <si>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</si>
  <si>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</si>
  <si>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</si>
  <si>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</si>
  <si>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</si>
  <si>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</si>
  <si>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</si>
  <si>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</si>
  <si>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</si>
  <si>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</si>
  <si>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</si>
  <si>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</si>
  <si>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</si>
  <si>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</si>
  <si>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</si>
  <si>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</si>
  <si>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</si>
  <si>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</si>
  <si>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</si>
  <si>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</si>
  <si>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</si>
  <si>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</si>
  <si>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</si>
  <si>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</si>
  <si>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</si>
  <si>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</si>
  <si>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</si>
  <si>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</si>
  <si>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</si>
  <si>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</si>
  <si>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</si>
  <si>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</si>
  <si>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</si>
  <si>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</si>
  <si>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</si>
  <si>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</si>
  <si>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</si>
  <si>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</si>
  <si>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</si>
  <si>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</si>
  <si>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</si>
  <si>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</si>
  <si>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</si>
  <si>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</si>
  <si>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</si>
  <si>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</si>
  <si>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</si>
  <si>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</si>
  <si>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</si>
  <si>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</si>
  <si>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</si>
  <si>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</si>
  <si>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</si>
  <si>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</si>
  <si>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</si>
  <si>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</si>
  <si>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</si>
  <si>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</si>
  <si>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</si>
  <si>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</si>
  <si>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</si>
  <si>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</si>
  <si>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</si>
  <si>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</si>
  <si>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</si>
  <si>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</si>
  <si>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</si>
  <si>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</si>
  <si>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</si>
  <si>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</si>
  <si>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</si>
  <si>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</si>
  <si>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</si>
  <si>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</si>
  <si>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</si>
  <si>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</si>
  <si>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</si>
  <si>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</si>
  <si>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</si>
  <si>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</si>
  <si>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</si>
  <si>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</si>
  <si>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</si>
  <si>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</si>
  <si>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</si>
  <si>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</si>
  <si>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</si>
  <si>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</si>
  <si>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</si>
  <si>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</si>
  <si>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</si>
  <si>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</si>
  <si>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</si>
  <si>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</si>
  <si>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</si>
  <si>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</si>
  <si>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</si>
  <si>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</si>
  <si>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</si>
  <si>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</si>
  <si>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</si>
  <si>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</si>
  <si>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</si>
  <si>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</si>
  <si>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</si>
  <si>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</si>
  <si>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</si>
  <si>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</si>
  <si>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</si>
  <si>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</si>
  <si>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</si>
  <si>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</si>
  <si>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</si>
  <si>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</si>
  <si>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</si>
  <si>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</si>
  <si>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</si>
  <si>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</si>
  <si>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</si>
  <si>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</si>
  <si>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</si>
  <si>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</si>
  <si>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</si>
  <si>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</si>
  <si>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</si>
  <si>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</si>
  <si>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</si>
  <si>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</si>
  <si>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</si>
  <si>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</si>
  <si>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</si>
  <si>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</si>
  <si>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</si>
  <si>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</si>
  <si>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</si>
  <si>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</si>
  <si>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</si>
  <si>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</si>
  <si>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</si>
  <si>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</si>
  <si>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</si>
  <si>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</si>
  <si>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</si>
  <si>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</si>
  <si>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</si>
  <si>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</si>
  <si>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</si>
  <si>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</si>
  <si>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</si>
  <si>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</si>
  <si>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</si>
  <si>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</si>
  <si>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</si>
  <si>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</si>
  <si>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</si>
  <si>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</si>
  <si>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</si>
  <si>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</si>
  <si>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</si>
  <si>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</si>
  <si>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</si>
  <si>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</si>
  <si>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</si>
  <si>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</si>
  <si>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</si>
  <si>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</si>
  <si>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</si>
  <si>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</si>
  <si>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</si>
  <si>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</si>
  <si>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</si>
  <si>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</si>
  <si>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</si>
  <si>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</si>
  <si>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</si>
  <si>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</si>
  <si>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</si>
  <si>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</si>
  <si>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</si>
  <si>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</si>
  <si>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</si>
  <si>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</si>
  <si>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</si>
  <si>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</si>
  <si>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</si>
  <si>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</si>
  <si>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</si>
  <si>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</si>
  <si>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</si>
  <si>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</si>
  <si>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</si>
  <si>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</si>
  <si>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</si>
  <si>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</si>
  <si>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</si>
  <si>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</si>
  <si>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</si>
  <si>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</si>
  <si>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</si>
  <si>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</si>
  <si>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</si>
  <si>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</si>
  <si>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</si>
  <si>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</si>
  <si>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</si>
  <si>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</si>
  <si>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</si>
  <si>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</si>
  <si>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</si>
  <si>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</si>
  <si>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</si>
  <si>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</si>
  <si>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</si>
  <si>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</si>
  <si>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</si>
  <si>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</si>
  <si>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</si>
  <si>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</si>
  <si>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</si>
  <si>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</si>
  <si>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</si>
  <si>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</si>
  <si>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</si>
  <si>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</si>
  <si>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</si>
  <si>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</si>
  <si>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</si>
  <si>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</si>
  <si>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</si>
  <si>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</si>
  <si>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</si>
  <si>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</si>
  <si>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</si>
  <si>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</si>
  <si>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</si>
  <si>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</si>
  <si>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</si>
  <si>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</si>
  <si>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</si>
  <si>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</si>
  <si>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</si>
  <si>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</si>
  <si>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</si>
  <si>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</si>
  <si>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</si>
  <si>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</si>
  <si>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</si>
  <si>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</si>
  <si>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</si>
  <si>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</si>
  <si>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</si>
  <si>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</si>
  <si>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</si>
  <si>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</si>
  <si>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</si>
  <si>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</si>
  <si>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</si>
  <si>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</si>
  <si>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</si>
  <si>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</si>
  <si>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</si>
  <si>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</si>
  <si>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</si>
  <si>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</si>
  <si>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</si>
  <si>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</si>
  <si>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</si>
  <si>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</si>
  <si>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</si>
  <si>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</si>
  <si>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</si>
  <si>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</si>
  <si>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</si>
  <si>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</si>
  <si>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</si>
  <si>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</si>
  <si>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</si>
  <si>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</si>
  <si>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</si>
  <si>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</si>
  <si>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</si>
  <si>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</si>
  <si>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</si>
  <si>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</si>
  <si>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</si>
  <si>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</si>
  <si>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</si>
  <si>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</si>
  <si>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</si>
  <si>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</si>
  <si>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</si>
  <si>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</si>
  <si>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</si>
  <si>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</si>
  <si>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</si>
  <si>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</si>
  <si>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</si>
  <si>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</si>
  <si>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</si>
  <si>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</si>
  <si>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</si>
  <si>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</si>
  <si>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</si>
  <si>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</si>
  <si>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</si>
  <si>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</si>
  <si>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</si>
  <si>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</si>
  <si>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</si>
  <si>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</si>
  <si>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</si>
  <si>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</si>
  <si>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</si>
  <si>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</si>
  <si>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</si>
  <si>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</si>
  <si>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</si>
  <si>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</si>
  <si>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</si>
  <si>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</si>
  <si>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</si>
  <si>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</si>
  <si>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</si>
  <si>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</si>
  <si>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</si>
  <si>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</si>
  <si>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</si>
  <si>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</si>
  <si>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</si>
  <si>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</si>
  <si>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</si>
  <si>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</si>
  <si>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</si>
  <si>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</si>
  <si>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</si>
  <si>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</si>
  <si>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</si>
  <si>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</si>
  <si>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</si>
  <si>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</si>
  <si>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</si>
  <si>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</si>
  <si>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</si>
  <si>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</si>
  <si>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</si>
  <si>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</si>
  <si>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</si>
  <si>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</si>
  <si>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</si>
  <si>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</si>
  <si>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</si>
  <si>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</si>
  <si>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</si>
  <si>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</si>
  <si>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</si>
  <si>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</si>
  <si>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</si>
  <si>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</si>
  <si>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</si>
  <si>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</si>
  <si>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</si>
  <si>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</si>
  <si>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</si>
  <si>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</si>
  <si>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</si>
  <si>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</si>
  <si>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</si>
  <si>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</si>
  <si>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</si>
  <si>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</si>
  <si>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</si>
  <si>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</si>
  <si>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</si>
  <si>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</si>
  <si>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</si>
  <si>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</si>
  <si>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</si>
  <si>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</si>
  <si>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</si>
  <si>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</si>
  <si>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</si>
  <si>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</si>
  <si>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</si>
  <si>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</si>
  <si>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</si>
  <si>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</si>
  <si>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</si>
  <si>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</si>
  <si>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</si>
  <si>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</si>
  <si>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</si>
  <si>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</si>
  <si>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</si>
  <si>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</si>
  <si>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</si>
  <si>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</si>
  <si>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</si>
  <si>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</si>
  <si>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</si>
  <si>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</si>
  <si>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</si>
  <si>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</si>
  <si>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</si>
  <si>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</si>
  <si>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</si>
  <si>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</si>
  <si>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</si>
  <si>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</si>
  <si>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</si>
  <si>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</si>
  <si>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</si>
  <si>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</si>
  <si>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</si>
  <si>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</si>
  <si>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</si>
  <si>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</si>
  <si>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</si>
  <si>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</si>
  <si>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</si>
  <si>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</si>
  <si>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</si>
  <si>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</si>
  <si>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</si>
  <si>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</si>
  <si>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</si>
  <si>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</si>
  <si>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</si>
  <si>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</si>
  <si>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</si>
  <si>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</si>
  <si>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</si>
  <si>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</si>
  <si>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</si>
  <si>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</si>
  <si>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</si>
  <si>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</si>
  <si>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</si>
  <si>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</si>
  <si>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</si>
  <si>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</si>
  <si>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</si>
  <si>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</si>
  <si>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</si>
  <si>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</si>
  <si>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</si>
  <si>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</si>
  <si>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</si>
  <si>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</si>
  <si>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</si>
  <si>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</si>
  <si>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</si>
  <si>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</si>
  <si>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</si>
  <si>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</si>
  <si>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</si>
  <si>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</si>
  <si>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</si>
  <si>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</si>
  <si>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</si>
  <si>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</si>
  <si>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</si>
  <si>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</si>
  <si>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</si>
  <si>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</si>
  <si>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</si>
  <si>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</si>
  <si>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</si>
  <si>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</si>
  <si>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</si>
  <si>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</si>
  <si>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</si>
  <si>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</si>
  <si>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</si>
  <si>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</si>
  <si>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</si>
  <si>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</si>
  <si>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</si>
  <si>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</si>
  <si>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</si>
  <si>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</si>
  <si>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</si>
  <si>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</si>
  <si>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</si>
  <si>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</si>
  <si>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</si>
  <si>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</si>
  <si>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</si>
  <si>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</si>
  <si>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</si>
  <si>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</si>
  <si>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</si>
  <si>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</si>
  <si>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</si>
  <si>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</si>
  <si>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</si>
  <si>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</si>
  <si>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</si>
  <si>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</si>
  <si>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</si>
  <si>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</si>
  <si>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</si>
  <si>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</si>
  <si>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</si>
  <si>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</si>
  <si>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</si>
  <si>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</si>
  <si>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</si>
  <si>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</si>
  <si>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</si>
  <si>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</si>
  <si>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</si>
  <si>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</si>
  <si>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</si>
  <si>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</si>
  <si>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</si>
  <si>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</si>
  <si>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</si>
  <si>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</si>
  <si>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</si>
  <si>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</si>
  <si>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</si>
  <si>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</si>
  <si>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</si>
  <si>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</si>
  <si>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</si>
  <si>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</si>
  <si>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</si>
  <si>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</si>
  <si>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</si>
  <si>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</si>
  <si>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</si>
  <si>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</si>
  <si>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</si>
  <si>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</si>
  <si>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</si>
  <si>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</si>
  <si>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</si>
  <si>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</si>
  <si>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</si>
  <si>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</si>
  <si>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</si>
  <si>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</si>
  <si>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</si>
  <si>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</si>
  <si>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</si>
  <si>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</si>
  <si>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</si>
  <si>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</si>
  <si>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</si>
  <si>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</si>
  <si>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</si>
  <si>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</si>
  <si>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</si>
  <si>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</si>
  <si>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</si>
  <si>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</si>
  <si>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</si>
  <si>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</si>
  <si>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</si>
  <si>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</si>
  <si>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</si>
  <si>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</si>
  <si>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</si>
  <si>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</si>
  <si>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</si>
  <si>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</si>
  <si>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</si>
  <si>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</si>
  <si>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</si>
  <si>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</si>
  <si>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</si>
  <si>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</si>
  <si>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</si>
  <si>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</si>
  <si>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</si>
  <si>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</si>
  <si>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</si>
  <si>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</si>
  <si>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</si>
  <si>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</si>
  <si>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</si>
  <si>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</si>
  <si>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</si>
  <si>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</si>
  <si>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</si>
  <si>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</si>
  <si>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</si>
  <si>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</si>
  <si>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</si>
  <si>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</si>
  <si>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</si>
  <si>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</si>
  <si>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</si>
  <si>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</si>
  <si>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</si>
  <si>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</si>
  <si>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</si>
  <si>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</si>
  <si>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</si>
  <si>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</si>
  <si>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</si>
  <si>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</si>
  <si>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</si>
  <si>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</si>
  <si>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</si>
  <si>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</si>
  <si>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</si>
  <si>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</si>
  <si>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</si>
  <si>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</si>
  <si>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</si>
  <si>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</si>
  <si>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</si>
  <si>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</si>
  <si>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</si>
  <si>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</si>
  <si>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</si>
  <si>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</si>
  <si>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</si>
  <si>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</si>
  <si>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</si>
  <si>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</si>
  <si>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</si>
  <si>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</si>
  <si>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</si>
  <si>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</si>
  <si>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</si>
  <si>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</si>
  <si>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</si>
  <si>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</si>
  <si>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</si>
  <si>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</si>
  <si>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</si>
  <si>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</si>
  <si>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</si>
  <si>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</si>
  <si>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</si>
  <si>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</si>
  <si>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</si>
  <si>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</si>
  <si>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</si>
  <si>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</si>
  <si>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</si>
  <si>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</si>
  <si>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</si>
  <si>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</si>
  <si>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</si>
  <si>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</si>
  <si>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</si>
  <si>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</si>
  <si>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</si>
  <si>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</si>
  <si>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</si>
  <si>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</si>
  <si>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</si>
  <si>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</si>
  <si>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</si>
  <si>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</si>
  <si>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</si>
  <si>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</si>
  <si>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</si>
  <si>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</si>
  <si>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</si>
  <si>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</si>
  <si>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</si>
  <si>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</si>
  <si>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</si>
  <si>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</si>
  <si>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</si>
  <si>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</si>
  <si>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</si>
  <si>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</si>
  <si>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</si>
  <si>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</si>
  <si>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</si>
  <si>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</si>
  <si>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</si>
  <si>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</si>
  <si>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</si>
  <si>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</si>
  <si>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</si>
  <si>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</si>
  <si>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</si>
  <si>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</si>
  <si>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</si>
  <si>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</si>
  <si>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</si>
  <si>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</si>
  <si>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</si>
  <si>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</si>
  <si>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</si>
  <si>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</si>
  <si>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</si>
  <si>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</si>
  <si>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</si>
  <si>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</si>
  <si>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</si>
  <si>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</si>
  <si>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</si>
  <si>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</si>
  <si>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</si>
  <si>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</si>
  <si>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</si>
  <si>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</si>
  <si>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</si>
  <si>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</si>
  <si>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</si>
  <si>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</si>
  <si>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</si>
  <si>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</si>
  <si>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</si>
  <si>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</si>
  <si>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</si>
  <si>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</si>
  <si>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</si>
  <si>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</si>
  <si>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</si>
  <si>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</si>
  <si>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</si>
  <si>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</si>
  <si>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</si>
  <si>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</si>
  <si>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</si>
  <si>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</si>
  <si>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</si>
  <si>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</si>
  <si>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</si>
  <si>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</si>
  <si>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</si>
  <si>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</si>
  <si>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</si>
  <si>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</si>
  <si>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</si>
  <si>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</si>
  <si>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</si>
  <si>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</si>
  <si>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</si>
  <si>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</si>
  <si>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</si>
  <si>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</si>
  <si>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</si>
  <si>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</si>
  <si>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</si>
  <si>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</si>
  <si>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</si>
  <si>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</si>
  <si>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</si>
  <si>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</si>
  <si>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</si>
  <si>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</si>
  <si>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</si>
  <si>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</si>
  <si>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</si>
  <si>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</si>
  <si>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</si>
  <si>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</si>
  <si>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</si>
  <si>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</si>
  <si>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</si>
  <si>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</si>
  <si>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</si>
  <si>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</si>
  <si>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</si>
  <si>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</si>
  <si>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</si>
  <si>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</si>
  <si>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</si>
  <si>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</si>
  <si>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</si>
  <si>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</si>
  <si>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</si>
  <si>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</si>
  <si>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</si>
  <si>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</si>
  <si>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</si>
  <si>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</si>
  <si>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</si>
  <si>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</si>
  <si>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</si>
  <si>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</si>
  <si>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</si>
  <si>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</si>
  <si>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</si>
  <si>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</si>
  <si>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</si>
  <si>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</si>
  <si>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</si>
  <si>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</si>
  <si>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</si>
  <si>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</si>
  <si>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</si>
  <si>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</si>
  <si>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</si>
  <si>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</si>
  <si>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</si>
  <si>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</si>
  <si>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</si>
  <si>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</si>
  <si>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</si>
  <si>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</si>
  <si>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</si>
  <si>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</si>
  <si>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</si>
  <si>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</si>
  <si>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</si>
  <si>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</si>
  <si>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</si>
  <si>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</si>
  <si>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</si>
  <si>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</si>
  <si>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</si>
  <si>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</si>
  <si>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</si>
  <si>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</si>
  <si>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</si>
  <si>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</si>
  <si>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</si>
  <si>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</si>
  <si>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</si>
  <si>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</si>
  <si>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</si>
  <si>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</si>
  <si>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</si>
  <si>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</si>
  <si>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</si>
  <si>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</si>
  <si>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</si>
  <si>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</si>
  <si>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</si>
  <si>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</si>
  <si>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</si>
  <si>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</si>
  <si>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</si>
  <si>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</si>
  <si>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</si>
  <si>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</si>
  <si>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</si>
  <si>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</si>
  <si>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</si>
  <si>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</si>
  <si>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</si>
  <si>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</si>
  <si>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</si>
  <si>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</si>
  <si>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</si>
  <si>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</si>
  <si>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</si>
  <si>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</si>
  <si>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</si>
  <si>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</si>
  <si>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</si>
  <si>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</si>
  <si>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</si>
  <si>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</si>
  <si>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</si>
  <si>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</si>
  <si>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</si>
  <si>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</si>
  <si>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</si>
  <si>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</si>
  <si>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</si>
  <si>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</si>
  <si>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</si>
  <si>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</si>
  <si>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</si>
  <si>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</si>
  <si>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</si>
  <si>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</si>
  <si>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</si>
  <si>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</si>
  <si>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</si>
  <si>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</si>
  <si>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</si>
  <si>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</si>
  <si>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</si>
  <si>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</si>
  <si>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</si>
  <si>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</si>
  <si>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</si>
  <si>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</si>
  <si>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</si>
  <si>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</si>
  <si>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</si>
  <si>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</si>
  <si>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</si>
  <si>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</si>
  <si>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</si>
  <si>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</si>
  <si>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</si>
  <si>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</si>
  <si>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</si>
  <si>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</si>
  <si>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</si>
  <si>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</si>
  <si>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</si>
  <si>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</si>
  <si>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</si>
  <si>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</si>
  <si>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</si>
  <si>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</si>
  <si>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</si>
  <si>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</si>
  <si>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</si>
  <si>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</si>
  <si>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</si>
  <si>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</si>
  <si>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</si>
  <si>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</si>
  <si>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</si>
  <si>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</si>
  <si>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</si>
  <si>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</si>
  <si>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</si>
  <si>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</si>
  <si>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</si>
  <si>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</si>
  <si>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</si>
  <si>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</si>
  <si>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</si>
  <si>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</si>
  <si>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</si>
  <si>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</si>
  <si>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</si>
  <si>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</si>
  <si>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</si>
  <si>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</si>
  <si>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</si>
  <si>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</si>
  <si>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</si>
  <si>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</si>
  <si>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</si>
  <si>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</si>
  <si>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</si>
  <si>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</si>
  <si>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</si>
  <si>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</si>
  <si>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</si>
  <si>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</si>
  <si>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</si>
  <si>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</si>
  <si>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</si>
  <si>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</si>
  <si>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</si>
  <si>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</si>
  <si>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</si>
  <si>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</si>
  <si>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</si>
  <si>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</si>
  <si>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</si>
  <si>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</si>
  <si>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</si>
  <si>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</si>
  <si>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</si>
  <si>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</si>
  <si>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</si>
  <si>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</si>
  <si>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</si>
  <si>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</si>
  <si>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</si>
  <si>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</si>
  <si>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</si>
  <si>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</si>
  <si>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</si>
  <si>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</si>
  <si>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</si>
  <si>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</si>
  <si>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</si>
  <si>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</si>
  <si>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</si>
  <si>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</si>
  <si>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</si>
  <si>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</si>
  <si>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</si>
  <si>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</si>
  <si>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</si>
  <si>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</si>
  <si>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</si>
  <si>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</si>
  <si>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</si>
  <si>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</si>
  <si>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</si>
  <si>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</si>
  <si>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</si>
  <si>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</si>
  <si>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</si>
  <si>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</si>
  <si>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</si>
  <si>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</si>
  <si>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</si>
  <si>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</si>
  <si>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</si>
  <si>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</si>
  <si>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</si>
  <si>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</si>
  <si>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</si>
  <si>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</si>
  <si>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</si>
  <si>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</si>
  <si>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</si>
  <si>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</si>
  <si>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</si>
  <si>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</si>
  <si>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</si>
  <si>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</si>
  <si>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</si>
  <si>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</si>
  <si>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</si>
  <si>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</si>
  <si>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</si>
  <si>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</si>
  <si>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</si>
  <si>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</si>
  <si>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</si>
  <si>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</si>
  <si>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</si>
  <si>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</si>
  <si>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</si>
  <si>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</si>
  <si>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</si>
  <si>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</si>
  <si>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</si>
  <si>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</si>
  <si>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</si>
  <si>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</si>
  <si>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</si>
  <si>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</si>
  <si>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</si>
  <si>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</si>
  <si>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</si>
  <si>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</si>
  <si>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</si>
  <si>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</si>
  <si>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</si>
  <si>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</si>
  <si>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</si>
  <si>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</si>
  <si>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</si>
  <si>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</si>
  <si>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</si>
  <si>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</si>
  <si>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</si>
  <si>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</si>
  <si>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</si>
  <si>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</si>
  <si>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</si>
  <si>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</si>
  <si>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</si>
  <si>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</si>
  <si>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</si>
  <si>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</si>
  <si>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</si>
  <si>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</si>
  <si>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</si>
  <si>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</si>
  <si>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</si>
  <si>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</si>
  <si>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</si>
  <si>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</si>
  <si>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</si>
  <si>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</si>
  <si>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</si>
  <si>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</si>
  <si>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</si>
  <si>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</si>
  <si>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</si>
  <si>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</si>
  <si>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</si>
  <si>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</si>
  <si>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</si>
  <si>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</si>
  <si>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</si>
  <si>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</si>
  <si>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</si>
  <si>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</si>
  <si>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</si>
  <si>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</si>
  <si>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</si>
  <si>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</si>
  <si>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</si>
  <si>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</si>
  <si>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</si>
  <si>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</si>
  <si>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</si>
  <si>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</si>
  <si>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</si>
  <si>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</si>
  <si>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</si>
  <si>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</si>
  <si>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</si>
  <si>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</si>
  <si>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</si>
  <si>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</si>
  <si>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</si>
  <si>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</si>
  <si>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</si>
  <si>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</si>
  <si>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</si>
  <si>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</si>
  <si>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</si>
  <si>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</si>
  <si>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</si>
  <si>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</si>
  <si>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</si>
  <si>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</si>
  <si>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</si>
  <si>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</si>
  <si>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</si>
  <si>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</si>
  <si>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</si>
  <si>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</si>
  <si>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</si>
  <si>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</si>
  <si>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</si>
  <si>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</si>
  <si>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</si>
  <si>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</si>
  <si>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</si>
  <si>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</si>
  <si>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</si>
  <si>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</si>
  <si>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</si>
  <si>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</si>
  <si>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</si>
  <si>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</si>
  <si>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</si>
  <si>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</si>
  <si>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</si>
  <si>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</si>
  <si>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</si>
  <si>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</si>
  <si>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</si>
  <si>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</si>
  <si>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</si>
  <si>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</si>
  <si>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</si>
  <si>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</si>
  <si>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</si>
  <si>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</si>
  <si>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</si>
  <si>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</si>
  <si>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</si>
  <si>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</si>
  <si>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</si>
  <si>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</si>
  <si>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</si>
  <si>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</si>
  <si>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</si>
  <si>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</si>
  <si>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</si>
  <si>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</si>
  <si>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</si>
  <si>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</si>
  <si>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</si>
  <si>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</si>
  <si>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</si>
  <si>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</si>
  <si>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</si>
  <si>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</si>
  <si>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</si>
  <si>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</si>
  <si>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</si>
  <si>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</si>
  <si>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</si>
  <si>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</si>
  <si>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</si>
  <si>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</si>
  <si>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</si>
  <si>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</si>
  <si>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</si>
  <si>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</si>
  <si>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</si>
  <si>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</si>
  <si>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</si>
  <si>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</si>
  <si>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</si>
  <si>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</si>
  <si>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</si>
  <si>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</si>
  <si>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</si>
  <si>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</si>
  <si>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</si>
  <si>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</si>
  <si>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</si>
  <si>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</si>
  <si>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</si>
  <si>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</si>
  <si>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</si>
  <si>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</si>
  <si>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</si>
  <si>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</si>
  <si>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</si>
  <si>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</si>
  <si>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</si>
  <si>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</si>
  <si>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</si>
  <si>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</si>
  <si>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</si>
  <si>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</si>
  <si>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</si>
  <si>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</si>
  <si>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</si>
  <si>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</si>
  <si>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</si>
  <si>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</si>
  <si>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</si>
  <si>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</si>
  <si>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</si>
  <si>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</si>
  <si>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</si>
  <si>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</si>
  <si>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</si>
  <si>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</si>
  <si>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</si>
  <si>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</si>
  <si>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</si>
  <si>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</si>
  <si>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</si>
  <si>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</si>
  <si>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</si>
  <si>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</si>
  <si>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</si>
  <si>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</si>
  <si>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</si>
  <si>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</si>
  <si>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</si>
  <si>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</si>
  <si>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</si>
  <si>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</si>
  <si>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</si>
  <si>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</si>
  <si>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</si>
  <si>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</si>
  <si>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</si>
  <si>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</si>
  <si>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</si>
  <si>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</si>
  <si>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</si>
  <si>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</si>
  <si>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</si>
  <si>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</si>
  <si>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</si>
  <si>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</si>
  <si>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</si>
  <si>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</si>
  <si>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</si>
  <si>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</si>
  <si>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</si>
  <si>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</si>
  <si>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</si>
  <si>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</si>
  <si>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</si>
  <si>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</si>
  <si>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</si>
  <si>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</si>
  <si>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</si>
  <si>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</si>
  <si>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</si>
  <si>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</si>
  <si>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</si>
  <si>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</si>
  <si>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</si>
  <si>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</si>
  <si>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</si>
  <si>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</si>
  <si>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</si>
  <si>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</si>
  <si>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</si>
  <si>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</si>
  <si>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</si>
  <si>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</si>
  <si>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</si>
  <si>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</si>
  <si>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</si>
  <si>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</si>
  <si>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</si>
  <si>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</si>
  <si>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</si>
  <si>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</si>
  <si>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</si>
  <si>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</si>
  <si>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</si>
  <si>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</si>
  <si>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</si>
  <si>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</si>
  <si>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</si>
  <si>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</si>
  <si>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</si>
  <si>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</si>
  <si>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</si>
  <si>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</si>
  <si>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</si>
  <si>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</si>
  <si>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</si>
  <si>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</si>
  <si>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</si>
  <si>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</si>
  <si>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</si>
  <si>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</si>
  <si>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</si>
  <si>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</si>
  <si>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</si>
  <si>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</si>
  <si>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</si>
  <si>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</si>
  <si>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</si>
  <si>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</si>
  <si>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</si>
  <si>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</si>
  <si>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</si>
  <si>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</si>
  <si>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</si>
  <si>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</si>
  <si>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</si>
  <si>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</si>
  <si>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</si>
  <si>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</si>
  <si>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</si>
  <si>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</si>
  <si>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</si>
  <si>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</si>
  <si>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</si>
  <si>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</si>
  <si>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</si>
  <si>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</si>
  <si>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</si>
  <si>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</si>
  <si>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</si>
  <si>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</si>
  <si>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</si>
  <si>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</si>
  <si>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</si>
  <si>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</si>
  <si>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</si>
  <si>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</si>
  <si>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</si>
  <si>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</si>
  <si>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</si>
  <si>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</si>
  <si>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</si>
  <si>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</si>
  <si>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</si>
  <si>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</si>
  <si>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</si>
  <si>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</si>
  <si>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</si>
  <si>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</si>
  <si>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</si>
  <si>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</si>
  <si>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</si>
  <si>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</si>
  <si>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</si>
  <si>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</si>
  <si>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</si>
  <si>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</si>
  <si>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</si>
  <si>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</si>
  <si>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</si>
  <si>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</si>
  <si>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</si>
  <si>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</si>
  <si>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</si>
  <si>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</si>
  <si>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</si>
  <si>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</si>
  <si>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</si>
  <si>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</si>
  <si>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</si>
  <si>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</si>
  <si>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</si>
  <si>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</si>
  <si>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</si>
  <si>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</si>
  <si>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</si>
  <si>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</si>
  <si>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</si>
  <si>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</si>
  <si>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</si>
  <si>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</si>
  <si>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</si>
  <si>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</si>
  <si>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</si>
  <si>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</si>
  <si>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</si>
  <si>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</si>
  <si>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</si>
  <si>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</si>
  <si>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</si>
  <si>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</si>
  <si>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</si>
  <si>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</si>
  <si>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</si>
  <si>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</si>
  <si>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</si>
  <si>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</si>
  <si>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</si>
  <si>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</si>
  <si>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</si>
  <si>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</si>
  <si>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</si>
  <si>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</si>
  <si>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</si>
  <si>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</si>
  <si>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</si>
  <si>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</si>
  <si>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</si>
  <si>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</si>
  <si>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</si>
  <si>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</si>
  <si>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</si>
  <si>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</si>
  <si>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</si>
  <si>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</si>
  <si>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</si>
  <si>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</si>
  <si>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</si>
  <si>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</si>
  <si>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</si>
  <si>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</si>
  <si>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</si>
  <si>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</si>
  <si>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</si>
  <si>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</si>
  <si>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</si>
  <si>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</si>
  <si>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</si>
  <si>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</si>
  <si>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</si>
  <si>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</si>
  <si>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</si>
  <si>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</si>
  <si>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</si>
  <si>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</si>
  <si>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</si>
  <si>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</si>
  <si>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</si>
  <si>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</si>
  <si>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</si>
  <si>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</si>
  <si>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</si>
  <si>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</si>
  <si>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</si>
  <si>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</si>
  <si>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</si>
  <si>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</si>
  <si>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</si>
  <si>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</si>
  <si>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</si>
  <si>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</si>
  <si>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</si>
  <si>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</si>
  <si>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</si>
  <si>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</si>
  <si>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</si>
  <si>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</si>
  <si>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</si>
  <si>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</si>
  <si>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</si>
  <si>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</si>
  <si>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</si>
  <si>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</si>
  <si>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</si>
  <si>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</si>
  <si>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</si>
  <si>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</si>
  <si>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</si>
  <si>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</si>
  <si>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</si>
  <si>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</si>
  <si>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</si>
  <si>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</si>
  <si>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</si>
  <si>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</si>
  <si>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</si>
  <si>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</si>
  <si>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</si>
  <si>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</si>
  <si>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</si>
  <si>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</si>
  <si>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</si>
  <si>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</si>
  <si>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</si>
  <si>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</si>
  <si>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</si>
  <si>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</si>
  <si>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</si>
  <si>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</si>
  <si>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</si>
  <si>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</si>
  <si>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</si>
  <si>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</si>
  <si>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</si>
  <si>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</si>
  <si>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</si>
  <si>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</si>
  <si>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</si>
  <si>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</si>
  <si>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</si>
  <si>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</si>
  <si>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</si>
  <si>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</si>
  <si>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</si>
  <si>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</si>
  <si>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</si>
  <si>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</si>
  <si>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</si>
  <si>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</si>
  <si>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</si>
  <si>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</si>
  <si>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</si>
  <si>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</si>
  <si>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</si>
  <si>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</si>
  <si>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</si>
  <si>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</si>
  <si>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</si>
  <si>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</si>
  <si>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</si>
  <si>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</si>
  <si>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</si>
  <si>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</si>
  <si>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</si>
  <si>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</si>
  <si>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</si>
  <si>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</si>
  <si>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</si>
  <si>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</si>
  <si>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</si>
  <si>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</si>
  <si>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</si>
  <si>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</si>
  <si>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</si>
  <si>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</si>
  <si>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</si>
  <si>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</si>
  <si>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</si>
  <si>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</si>
  <si>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</si>
  <si>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</si>
  <si>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</si>
  <si>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</si>
  <si>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</si>
  <si>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</si>
  <si>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</si>
  <si>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</si>
  <si>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</si>
  <si>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</si>
  <si>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</si>
  <si>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</si>
  <si>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</si>
  <si>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</si>
  <si>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</si>
  <si>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</si>
  <si>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</si>
  <si>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</si>
  <si>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</si>
  <si>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</si>
  <si>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</si>
  <si>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</si>
  <si>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</si>
  <si>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</si>
  <si>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</si>
  <si>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</si>
  <si>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</si>
  <si>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</si>
  <si>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</si>
  <si>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</si>
  <si>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</si>
  <si>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</si>
  <si>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</si>
  <si>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</si>
  <si>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</si>
  <si>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</si>
  <si>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</si>
  <si>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</si>
  <si>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</si>
  <si>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</si>
  <si>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</si>
  <si>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</si>
  <si>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</si>
  <si>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</si>
  <si>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</si>
  <si>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</si>
  <si>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</si>
  <si>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</si>
  <si>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</si>
  <si>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</si>
  <si>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</si>
  <si>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</si>
  <si>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</si>
  <si>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</si>
  <si>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</si>
  <si>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</si>
  <si>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</si>
  <si>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</si>
  <si>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</si>
  <si>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</si>
  <si>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</si>
  <si>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</si>
  <si>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</si>
  <si>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</si>
  <si>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</si>
  <si>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</si>
  <si>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</si>
  <si>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</si>
  <si>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</si>
  <si>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</si>
  <si>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</si>
  <si>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</si>
  <si>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</si>
  <si>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</si>
  <si>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</si>
  <si>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</si>
  <si>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</si>
  <si>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</si>
  <si>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</si>
  <si>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</si>
  <si>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</si>
  <si>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</si>
  <si>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</si>
  <si>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</si>
  <si>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</si>
  <si>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</si>
  <si>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</si>
  <si>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</si>
  <si>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</si>
  <si>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</si>
  <si>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</si>
  <si>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</si>
  <si>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</si>
  <si>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</si>
  <si>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</si>
  <si>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</si>
  <si>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</si>
  <si>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</si>
  <si>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</si>
  <si>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</si>
  <si>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</si>
  <si>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</si>
  <si>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</si>
  <si>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</si>
  <si>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</si>
  <si>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</si>
  <si>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</si>
  <si>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</si>
  <si>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</si>
  <si>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</si>
  <si>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</si>
  <si>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</si>
  <si>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</si>
  <si>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</si>
  <si>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</si>
  <si>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</si>
  <si>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</si>
  <si>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</si>
  <si>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</si>
  <si>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</si>
  <si>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</si>
  <si>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</si>
  <si>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</si>
  <si>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</si>
  <si>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</si>
  <si>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</si>
  <si>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</si>
  <si>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</si>
  <si>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</si>
  <si>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</si>
  <si>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</si>
  <si>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</si>
  <si>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</si>
  <si>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</si>
  <si>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</si>
  <si>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</si>
  <si>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</si>
  <si>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</si>
  <si>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</si>
  <si>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</si>
  <si>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</si>
  <si>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</si>
  <si>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</si>
  <si>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</si>
  <si>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</si>
  <si>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</si>
  <si>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</si>
  <si>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</si>
  <si>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</si>
  <si>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</si>
  <si>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</si>
  <si>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</si>
  <si>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</si>
  <si>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</si>
  <si>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</si>
  <si>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</si>
  <si>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</si>
  <si>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</si>
  <si>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</si>
  <si>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</si>
  <si>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</si>
  <si>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</si>
  <si>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</si>
  <si>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</si>
  <si>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</si>
  <si>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</si>
  <si>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</si>
  <si>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</si>
  <si>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</si>
  <si>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</si>
  <si>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</si>
  <si>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</si>
  <si>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</si>
  <si>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</si>
  <si>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</si>
  <si>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</si>
  <si>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</si>
  <si>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</si>
  <si>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</si>
  <si>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</si>
  <si>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</si>
  <si>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</si>
  <si>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</si>
  <si>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</si>
  <si>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</si>
  <si>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</si>
  <si>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</si>
  <si>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</si>
  <si>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</si>
  <si>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</si>
  <si>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</si>
  <si>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</si>
  <si>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</si>
  <si>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</si>
  <si>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</si>
  <si>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</si>
  <si>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</si>
  <si>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</si>
  <si>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</si>
  <si>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</si>
  <si>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</si>
  <si>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</si>
  <si>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</si>
  <si>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</si>
  <si>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</si>
  <si>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</si>
  <si>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</si>
  <si>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</si>
  <si>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</si>
  <si>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</si>
  <si>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</si>
  <si>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</si>
  <si>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</si>
  <si>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</si>
  <si>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</si>
  <si>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</si>
  <si>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</si>
  <si>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</si>
  <si>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</si>
  <si>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</si>
  <si>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</si>
  <si>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</si>
  <si>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</si>
  <si>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</si>
  <si>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</si>
  <si>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</si>
  <si>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</si>
  <si>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</si>
  <si>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</si>
  <si>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</si>
  <si>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</si>
  <si>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</si>
  <si>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</si>
  <si>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</si>
  <si>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</si>
  <si>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</si>
  <si>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</si>
  <si>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</si>
  <si>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</si>
  <si>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</si>
  <si>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</si>
  <si>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</si>
  <si>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</si>
  <si>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</si>
  <si>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</si>
  <si>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</si>
  <si>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</si>
  <si>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</si>
  <si>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</si>
  <si>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</si>
  <si>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</si>
  <si>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</si>
  <si>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</si>
  <si>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</si>
  <si>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</si>
  <si>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</si>
  <si>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</si>
  <si>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</si>
  <si>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</si>
  <si>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</si>
  <si>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</si>
  <si>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</si>
  <si>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</si>
  <si>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</si>
  <si>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</si>
  <si>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</si>
  <si>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</si>
  <si>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</si>
  <si>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</si>
  <si>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</si>
  <si>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</si>
  <si>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</si>
  <si>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</si>
  <si>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</si>
  <si>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</si>
  <si>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</si>
  <si>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</si>
  <si>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</si>
  <si>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</si>
  <si>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</si>
  <si>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</si>
  <si>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</si>
  <si>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</si>
  <si>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</si>
  <si>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</si>
  <si>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</si>
  <si>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</si>
  <si>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</si>
  <si>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</si>
  <si>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</si>
  <si>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</si>
  <si>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</si>
  <si>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</si>
  <si>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</si>
  <si>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</si>
  <si>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</si>
  <si>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</si>
  <si>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</si>
  <si>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</si>
  <si>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</si>
  <si>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</si>
  <si>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</si>
  <si>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</si>
  <si>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</si>
  <si>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</si>
  <si>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</si>
  <si>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</si>
  <si>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</si>
  <si>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</si>
  <si>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</si>
  <si>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</si>
  <si>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</si>
  <si>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</si>
  <si>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</si>
  <si>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</si>
  <si>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</si>
  <si>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</si>
  <si>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</si>
  <si>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</si>
  <si>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</si>
  <si>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</si>
  <si>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</si>
  <si>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</si>
  <si>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</si>
  <si>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</si>
  <si>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</si>
  <si>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</si>
  <si>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</si>
  <si>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</si>
  <si>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</si>
  <si>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</si>
  <si>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</si>
  <si>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</si>
  <si>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</si>
  <si>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</si>
  <si>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</si>
  <si>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</si>
  <si>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</si>
  <si>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</si>
  <si>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</si>
  <si>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</si>
  <si>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</si>
  <si>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</si>
  <si>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</si>
  <si>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</si>
  <si>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</si>
  <si>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</si>
  <si>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</si>
  <si>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</si>
  <si>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</si>
  <si>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</si>
  <si>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</si>
  <si>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</si>
  <si>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</si>
  <si>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</si>
  <si>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</si>
  <si>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</si>
  <si>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</si>
  <si>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</si>
  <si>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</si>
  <si>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</si>
  <si>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</si>
  <si>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</si>
  <si>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</si>
  <si>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</si>
  <si>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</si>
  <si>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</si>
  <si>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</si>
  <si>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</si>
  <si>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</si>
  <si>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</si>
  <si>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</si>
  <si>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</si>
  <si>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</si>
  <si>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</si>
  <si>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</si>
  <si>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</si>
  <si>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</si>
  <si>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</si>
  <si>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</si>
  <si>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</si>
  <si>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</si>
  <si>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</si>
  <si>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</si>
  <si>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</si>
  <si>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</si>
  <si>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</si>
  <si>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</si>
  <si>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</si>
  <si>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</si>
  <si>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</si>
  <si>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</si>
  <si>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</si>
  <si>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</si>
  <si>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</si>
  <si>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</si>
  <si>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</si>
  <si>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</si>
  <si>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</si>
  <si>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</si>
  <si>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</si>
  <si>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</si>
  <si>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</si>
  <si>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</si>
  <si>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</si>
  <si>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</si>
  <si>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</si>
  <si>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</si>
  <si>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</si>
  <si>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</si>
  <si>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</si>
  <si>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</si>
  <si>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</si>
  <si>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</si>
  <si>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</si>
  <si>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</si>
  <si>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</si>
  <si>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</si>
  <si>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</si>
  <si>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</si>
  <si>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</si>
  <si>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</si>
  <si>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</si>
  <si>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</si>
  <si>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</si>
  <si>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</si>
  <si>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</si>
  <si>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</si>
  <si>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</si>
  <si>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</si>
  <si>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</si>
  <si>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</si>
  <si>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</si>
  <si>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</si>
  <si>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</si>
  <si>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</si>
  <si>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</si>
  <si>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</si>
  <si>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</si>
  <si>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</si>
  <si>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</si>
  <si>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</si>
  <si>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</si>
  <si>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</si>
  <si>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</si>
  <si>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</si>
  <si>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</si>
  <si>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</si>
  <si>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</si>
  <si>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</si>
  <si>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</si>
  <si>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</si>
  <si>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</si>
  <si>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</si>
  <si>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</si>
  <si>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</si>
  <si>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</si>
  <si>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</si>
  <si>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</si>
  <si>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</si>
  <si>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</si>
  <si>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</si>
  <si>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</si>
  <si>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</si>
  <si>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</si>
  <si>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</si>
  <si>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</si>
  <si>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</si>
  <si>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</si>
  <si>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</si>
  <si>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</si>
  <si>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</si>
  <si>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</si>
  <si>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</si>
  <si>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</si>
  <si>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</si>
  <si>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</si>
  <si>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</si>
  <si>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</si>
  <si>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</si>
  <si>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</si>
  <si>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</si>
  <si>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</si>
  <si>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</si>
  <si>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</si>
  <si>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</si>
  <si>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</si>
  <si>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</si>
  <si>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</si>
  <si>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</si>
  <si>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</si>
  <si>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</si>
  <si>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</si>
  <si>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</si>
  <si>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</si>
  <si>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</si>
  <si>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</si>
  <si>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</si>
  <si>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</si>
  <si>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</si>
  <si>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</si>
  <si>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</si>
  <si>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</si>
  <si>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</si>
  <si>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</si>
  <si>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</si>
  <si>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</si>
  <si>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</si>
  <si>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</si>
  <si>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</si>
  <si>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</si>
  <si>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</si>
  <si>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</si>
  <si>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</si>
  <si>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</si>
  <si>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</si>
  <si>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</si>
  <si>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</si>
  <si>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</si>
  <si>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</si>
  <si>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</si>
  <si>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</si>
  <si>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</si>
  <si>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</si>
  <si>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</si>
  <si>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</si>
  <si>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</si>
  <si>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</si>
  <si>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</si>
  <si>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</si>
  <si>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</si>
  <si>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</si>
  <si>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</si>
  <si>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</si>
  <si>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</si>
  <si>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</si>
  <si>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</si>
  <si>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</si>
  <si>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</si>
  <si>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</si>
  <si>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</si>
  <si>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</si>
  <si>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</si>
  <si>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</si>
  <si>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</si>
  <si>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</si>
  <si>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</si>
  <si>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</si>
  <si>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</si>
  <si>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</si>
  <si>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</si>
  <si>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</si>
  <si>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</si>
  <si>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</si>
  <si>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</si>
  <si>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</si>
  <si>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</si>
  <si>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</si>
  <si>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</si>
  <si>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</si>
  <si>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</si>
  <si>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</si>
  <si>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</si>
  <si>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</si>
  <si>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</si>
  <si>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</si>
  <si>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</si>
  <si>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</si>
  <si>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</si>
  <si>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</si>
  <si>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</si>
  <si>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</si>
  <si>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</si>
  <si>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</si>
  <si>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</si>
  <si>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</si>
  <si>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</si>
  <si>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</si>
  <si>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</si>
  <si>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</si>
  <si>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</si>
  <si>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</si>
  <si>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</si>
  <si>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</si>
  <si>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</si>
  <si>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</si>
  <si>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</si>
  <si>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</si>
  <si>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</si>
  <si>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</si>
  <si>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</si>
  <si>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</si>
  <si>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</si>
  <si>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</si>
  <si>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</si>
  <si>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</si>
  <si>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</si>
  <si>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</si>
  <si>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</si>
  <si>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</si>
  <si>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</si>
  <si>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</si>
  <si>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</si>
  <si>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</si>
  <si>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</si>
  <si>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</si>
  <si>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</si>
  <si>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</si>
  <si>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</si>
  <si>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</si>
  <si>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</si>
  <si>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</si>
  <si>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</si>
  <si>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</si>
  <si>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</si>
  <si>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</si>
  <si>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</si>
  <si>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</si>
  <si>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</si>
  <si>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</si>
  <si>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</si>
  <si>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</si>
  <si>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</si>
  <si>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</si>
  <si>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</si>
  <si>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</si>
  <si>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</si>
  <si>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</si>
  <si>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</si>
  <si>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</si>
  <si>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</si>
  <si>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</si>
  <si>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</si>
  <si>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</si>
  <si>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</si>
  <si>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</si>
  <si>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</si>
  <si>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</si>
  <si>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</si>
  <si>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</si>
  <si>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</si>
  <si>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</si>
  <si>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</si>
  <si>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</si>
  <si>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</si>
  <si>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</si>
  <si>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</si>
  <si>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</si>
  <si>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</si>
  <si>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</si>
  <si>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</si>
  <si>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</si>
  <si>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</si>
  <si>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</si>
  <si>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</si>
  <si>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</si>
  <si>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</si>
  <si>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</si>
  <si>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</si>
  <si>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</si>
  <si>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</si>
  <si>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</si>
  <si>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</si>
  <si>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</si>
  <si>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</si>
  <si>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</si>
  <si>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</si>
  <si>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</si>
  <si>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</si>
  <si>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</si>
  <si>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</si>
  <si>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</si>
  <si>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</si>
  <si>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</si>
  <si>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</si>
  <si>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</si>
  <si>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</si>
  <si>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</si>
  <si>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</si>
  <si>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</si>
  <si>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</si>
  <si>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</si>
  <si>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</si>
  <si>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</si>
  <si>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</si>
  <si>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</si>
  <si>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</si>
  <si>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</si>
  <si>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</si>
  <si>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</si>
  <si>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</si>
  <si>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</si>
  <si>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</si>
  <si>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</si>
  <si>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</si>
  <si>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</si>
  <si>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</si>
  <si>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</si>
  <si>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</si>
  <si>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</si>
  <si>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</si>
  <si>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</si>
  <si>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</si>
  <si>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</si>
  <si>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</si>
  <si>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</si>
  <si>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</si>
  <si>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</si>
  <si>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</si>
  <si>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</si>
  <si>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</si>
  <si>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</si>
  <si>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</si>
  <si>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</si>
  <si>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</si>
  <si>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</si>
  <si>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</si>
  <si>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</si>
  <si>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</si>
  <si>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</si>
  <si>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</si>
  <si>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</si>
  <si>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</si>
  <si>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</si>
  <si>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</si>
  <si>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</si>
  <si>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</si>
  <si>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</si>
  <si>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</si>
  <si>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</si>
  <si>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</si>
  <si>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</si>
  <si>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</si>
  <si>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</si>
  <si>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</si>
  <si>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</si>
  <si>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</si>
  <si>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</si>
  <si>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</si>
  <si>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</si>
  <si>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</si>
  <si>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</si>
  <si>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</si>
  <si>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</si>
  <si>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</si>
  <si>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</si>
  <si>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</si>
  <si>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</si>
  <si>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</si>
  <si>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</si>
  <si>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</si>
  <si>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</si>
  <si>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</si>
  <si>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</si>
  <si>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</si>
  <si>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</si>
  <si>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</si>
  <si>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</si>
  <si>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</si>
  <si>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</si>
  <si>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</si>
  <si>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</si>
  <si>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</si>
  <si>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</si>
  <si>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</si>
  <si>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</si>
  <si>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</si>
  <si>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</si>
  <si>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</si>
  <si>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</si>
  <si>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</si>
  <si>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</si>
  <si>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</si>
  <si>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</si>
  <si>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</si>
  <si>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</si>
  <si>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</si>
  <si>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</si>
  <si>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</si>
  <si>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</si>
  <si>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</si>
  <si>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</si>
  <si>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</si>
  <si>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</si>
  <si>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</si>
  <si>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</si>
  <si>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</si>
  <si>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</si>
  <si>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</si>
  <si>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</si>
  <si>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</si>
  <si>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</si>
  <si>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</si>
  <si>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</si>
  <si>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</si>
  <si>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</si>
  <si>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</si>
  <si>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</si>
  <si>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</si>
  <si>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</si>
  <si>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</si>
  <si>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</si>
  <si>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</si>
  <si>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</si>
  <si>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</si>
  <si>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</si>
  <si>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</si>
  <si>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</si>
  <si>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</si>
  <si>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</si>
  <si>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</si>
  <si>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</si>
  <si>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</si>
  <si>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</si>
  <si>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</si>
  <si>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</si>
  <si>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</si>
  <si>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</si>
  <si>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</si>
  <si>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</si>
  <si>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</si>
  <si>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</si>
  <si>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</si>
  <si>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</si>
  <si>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</si>
  <si>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</si>
  <si>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</si>
  <si>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</si>
  <si>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</si>
  <si>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</si>
  <si>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</si>
  <si>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</si>
  <si>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</si>
  <si>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</si>
  <si>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</si>
  <si>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</si>
  <si>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</si>
  <si>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</si>
  <si>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</si>
  <si>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</si>
  <si>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</si>
  <si>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</si>
  <si>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</si>
  <si>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</si>
  <si>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</si>
  <si>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</si>
  <si>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</si>
  <si>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</si>
  <si>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</si>
  <si>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</si>
  <si>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</si>
  <si>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</si>
  <si>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</si>
  <si>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</si>
  <si>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</si>
  <si>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</si>
  <si>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</si>
  <si>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</si>
  <si>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</si>
  <si>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</si>
  <si>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</si>
  <si>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</si>
  <si>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</si>
  <si>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</si>
  <si>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</si>
  <si>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</si>
  <si>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</si>
  <si>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</si>
  <si>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</si>
  <si>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</si>
  <si>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</si>
  <si>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</si>
  <si>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</si>
  <si>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</si>
  <si>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</si>
  <si>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</si>
  <si>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</si>
  <si>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</si>
  <si>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</si>
  <si>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</si>
  <si>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</si>
  <si>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</si>
  <si>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</si>
  <si>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</si>
  <si>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</si>
  <si>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</si>
  <si>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</si>
  <si>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</si>
  <si>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</si>
  <si>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</si>
  <si>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</si>
  <si>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</si>
  <si>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</si>
  <si>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</si>
  <si>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</si>
  <si>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</si>
  <si>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</si>
  <si>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</si>
  <si>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</si>
  <si>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</si>
  <si>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</si>
  <si>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</si>
  <si>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</si>
  <si>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</si>
  <si>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</si>
  <si>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</si>
  <si>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</si>
  <si>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</si>
  <si>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</si>
  <si>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</si>
  <si>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</si>
  <si>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</si>
  <si>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</si>
  <si>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</si>
  <si>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</si>
  <si>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</si>
  <si>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</si>
  <si>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</si>
  <si>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</si>
  <si>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</si>
  <si>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</si>
  <si>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</si>
  <si>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</si>
  <si>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</si>
  <si>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</si>
  <si>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</si>
  <si>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</si>
  <si>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</si>
  <si>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</si>
  <si>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</si>
  <si>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</si>
  <si>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</si>
  <si>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</si>
  <si>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</si>
  <si>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</si>
  <si>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</si>
  <si>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</si>
  <si>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</si>
  <si>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</si>
  <si>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</si>
  <si>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</si>
  <si>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</si>
  <si>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</si>
  <si>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</si>
  <si>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</si>
  <si>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</si>
  <si>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</si>
  <si>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</si>
  <si>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</si>
  <si>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</si>
  <si>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</si>
  <si>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</si>
  <si>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</si>
  <si>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</si>
  <si>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</si>
  <si>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</si>
  <si>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</si>
  <si>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</si>
  <si>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</si>
  <si>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</si>
  <si>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</si>
  <si>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</si>
  <si>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</si>
  <si>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</si>
  <si>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</si>
  <si>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</si>
  <si>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</si>
  <si>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</si>
  <si>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</si>
  <si>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</si>
  <si>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</si>
  <si>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</si>
  <si>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</si>
  <si>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</si>
  <si>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</si>
  <si>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</si>
  <si>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</si>
  <si>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</si>
  <si>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</si>
  <si>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</si>
  <si>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</si>
  <si>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</si>
  <si>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</si>
  <si>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</si>
  <si>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</si>
  <si>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</si>
  <si>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</si>
  <si>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</si>
  <si>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</si>
  <si>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</si>
  <si>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</si>
  <si>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</si>
  <si>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</si>
  <si>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</si>
  <si>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</si>
  <si>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</si>
  <si>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</si>
  <si>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</si>
  <si>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</si>
  <si>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</si>
  <si>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</si>
  <si>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</si>
  <si>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</si>
  <si>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</si>
  <si>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</si>
  <si>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</si>
  <si>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</si>
  <si>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</si>
  <si>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</si>
  <si>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</si>
  <si>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</si>
  <si>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</si>
  <si>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</si>
  <si>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</si>
  <si>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</si>
  <si>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</si>
  <si>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</si>
  <si>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</si>
  <si>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</si>
  <si>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</si>
  <si>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</si>
  <si>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</si>
  <si>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</si>
  <si>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</si>
  <si>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</si>
  <si>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</si>
  <si>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</si>
  <si>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</si>
  <si>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</si>
  <si>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</si>
  <si>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</si>
  <si>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</si>
  <si>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</si>
  <si>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</si>
  <si>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</si>
  <si>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</si>
  <si>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</si>
  <si>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</si>
  <si>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</si>
  <si>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</si>
  <si>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</si>
  <si>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</si>
  <si>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</si>
  <si>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</si>
  <si>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</si>
  <si>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</si>
  <si>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</si>
  <si>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</si>
  <si>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</si>
  <si>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</si>
  <si>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</si>
  <si>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</si>
  <si>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</si>
  <si>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</si>
  <si>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</si>
  <si>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</si>
  <si>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</si>
  <si>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</si>
  <si>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</si>
  <si>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</si>
  <si>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</si>
  <si>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</si>
  <si>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</si>
  <si>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</si>
  <si>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</si>
  <si>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</si>
  <si>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</si>
  <si>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</si>
  <si>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</si>
  <si>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</si>
  <si>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</si>
  <si>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</si>
  <si>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</si>
  <si>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</si>
  <si>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</si>
  <si>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</si>
  <si>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</si>
  <si>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</si>
  <si>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</si>
  <si>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</si>
  <si>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</si>
  <si>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</si>
  <si>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</si>
  <si>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</si>
  <si>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</si>
  <si>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</si>
  <si>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</si>
  <si>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</si>
  <si>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</si>
  <si>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</si>
  <si>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</si>
  <si>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</si>
  <si>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</si>
  <si>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</si>
  <si>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</si>
  <si>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</si>
  <si>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</si>
  <si>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</si>
  <si>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</si>
  <si>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</si>
  <si>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</si>
  <si>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</si>
  <si>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</si>
  <si>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</si>
  <si>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</si>
  <si>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</si>
  <si>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</si>
  <si>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</si>
  <si>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</si>
  <si>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</si>
  <si>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</si>
  <si>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</si>
  <si>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</si>
  <si>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</si>
  <si>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</si>
  <si>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</si>
  <si>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</si>
  <si>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</si>
  <si>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</si>
  <si>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</si>
  <si>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</si>
  <si>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</si>
  <si>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</si>
  <si>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</si>
  <si>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</si>
  <si>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</si>
  <si>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</si>
  <si>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</si>
  <si>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</si>
  <si>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</si>
  <si>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</si>
  <si>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</si>
  <si>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</si>
  <si>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</si>
  <si>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</si>
  <si>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</si>
  <si>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</si>
  <si>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</si>
  <si>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</si>
  <si>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</si>
  <si>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</si>
  <si>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</si>
  <si>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</si>
  <si>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</si>
  <si>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</si>
  <si>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</si>
  <si>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</si>
  <si>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</si>
  <si>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</si>
  <si>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</si>
  <si>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</si>
  <si>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</si>
  <si>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</si>
  <si>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</si>
  <si>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</si>
  <si>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</si>
  <si>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</si>
  <si>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</si>
  <si>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</si>
  <si>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</si>
  <si>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</si>
  <si>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</si>
  <si>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</si>
  <si>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</si>
  <si>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</si>
  <si>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</si>
  <si>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</si>
  <si>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</si>
  <si>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</si>
  <si>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</si>
  <si>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</si>
  <si>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</si>
  <si>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</si>
  <si>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</si>
  <si>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</si>
  <si>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</si>
  <si>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</si>
  <si>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</si>
  <si>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</si>
  <si>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</si>
  <si>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</si>
  <si>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</si>
  <si>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</si>
  <si>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</si>
  <si>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</si>
  <si>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</si>
  <si>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</si>
  <si>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</si>
  <si>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</si>
  <si>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</si>
  <si>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</si>
  <si>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</si>
  <si>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</si>
  <si>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</si>
  <si>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</si>
  <si>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</si>
  <si>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</si>
  <si>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</si>
  <si>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</si>
  <si>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</si>
  <si>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</si>
  <si>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</si>
  <si>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</si>
  <si>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</si>
  <si>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</si>
  <si>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</si>
  <si>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</si>
  <si>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</si>
  <si>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</si>
  <si>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</si>
  <si>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</si>
  <si>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</si>
  <si>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</si>
  <si>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</si>
  <si>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</si>
  <si>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</si>
  <si>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</si>
  <si>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</si>
  <si>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</si>
  <si>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</si>
  <si>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</si>
  <si>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</si>
  <si>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</si>
  <si>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</si>
  <si>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</si>
  <si>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</si>
  <si>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</si>
  <si>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</si>
  <si>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</si>
  <si>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</si>
  <si>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</si>
  <si>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</si>
  <si>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</si>
  <si>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</si>
  <si>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</si>
  <si>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</si>
  <si>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</si>
  <si>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</si>
  <si>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</si>
  <si>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</si>
  <si>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</si>
  <si>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</si>
  <si>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</si>
  <si>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</si>
  <si>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</si>
  <si>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</si>
  <si>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</si>
  <si>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</si>
  <si>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</si>
  <si>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</si>
  <si>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</si>
  <si>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</si>
  <si>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</si>
  <si>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</si>
  <si>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</si>
  <si>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</si>
  <si>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</si>
  <si>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</si>
  <si>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</si>
  <si>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</si>
  <si>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</si>
  <si>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</si>
  <si>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</si>
  <si>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</si>
  <si>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</si>
  <si>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</si>
  <si>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</si>
  <si>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</si>
  <si>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</si>
  <si>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</si>
  <si>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</si>
  <si>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</si>
  <si>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</si>
  <si>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</si>
  <si>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</si>
  <si>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</si>
  <si>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</si>
  <si>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</si>
  <si>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</si>
  <si>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</si>
  <si>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</si>
  <si>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</si>
  <si>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</si>
  <si>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</si>
  <si>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</si>
  <si>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</si>
  <si>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</si>
  <si>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</si>
  <si>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</si>
  <si>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</si>
  <si>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</si>
  <si>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</si>
  <si>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</si>
  <si>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</si>
  <si>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</si>
  <si>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</si>
  <si>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</si>
  <si>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</si>
  <si>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</si>
  <si>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</si>
  <si>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</si>
  <si>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</si>
  <si>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</si>
  <si>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</si>
  <si>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</si>
  <si>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</si>
  <si>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</si>
  <si>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</si>
  <si>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</si>
  <si>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</si>
  <si>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</si>
  <si>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</si>
  <si>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</si>
  <si>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</si>
  <si>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</si>
  <si>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</si>
  <si>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</si>
  <si>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</si>
  <si>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</si>
  <si>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</si>
  <si>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</si>
  <si>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</si>
  <si>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</si>
  <si>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</si>
  <si>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</si>
  <si>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</si>
  <si>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</si>
  <si>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</si>
  <si>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</si>
  <si>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</si>
  <si>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</si>
  <si>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</si>
  <si>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</si>
  <si>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</si>
  <si>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</si>
  <si>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</si>
  <si>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</si>
  <si>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</si>
  <si>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</si>
  <si>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</si>
  <si>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</si>
  <si>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</si>
  <si>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</si>
  <si>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</si>
  <si>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</si>
  <si>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</si>
  <si>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</si>
  <si>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</si>
  <si>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</si>
  <si>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</si>
  <si>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</si>
  <si>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</si>
  <si>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</si>
  <si>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</si>
  <si>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</si>
  <si>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</si>
  <si>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</si>
  <si>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</si>
  <si>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</si>
  <si>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</si>
  <si>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</si>
  <si>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</si>
  <si>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</si>
  <si>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</si>
  <si>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</si>
  <si>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</si>
  <si>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</si>
  <si>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</si>
  <si>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</si>
  <si>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</si>
  <si>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</si>
  <si>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</si>
  <si>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</si>
  <si>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</si>
  <si>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</si>
  <si>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</si>
  <si>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</si>
  <si>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</si>
  <si>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</si>
  <si>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</si>
  <si>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</si>
  <si>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</si>
  <si>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</si>
  <si>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</si>
  <si>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</si>
  <si>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</si>
  <si>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</si>
  <si>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</si>
  <si>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</si>
  <si>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</si>
  <si>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</si>
  <si>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</si>
  <si>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</si>
  <si>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</si>
  <si>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</si>
  <si>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</si>
  <si>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</si>
  <si>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</si>
  <si>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</si>
  <si>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</si>
  <si>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</si>
  <si>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</si>
  <si>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</si>
  <si>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</si>
  <si>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</si>
  <si>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</si>
  <si>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</si>
  <si>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</si>
  <si>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</si>
  <si>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</si>
  <si>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</si>
  <si>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</si>
  <si>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</si>
  <si>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</si>
  <si>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</si>
  <si>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</si>
  <si>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</si>
  <si>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</si>
  <si>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</si>
  <si>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</si>
  <si>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</si>
  <si>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</si>
  <si>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</si>
  <si>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</si>
  <si>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</si>
  <si>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</si>
  <si>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</si>
  <si>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</si>
  <si>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</si>
  <si>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</si>
  <si>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</si>
  <si>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</si>
  <si>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</si>
  <si>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</si>
  <si>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</si>
  <si>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</si>
  <si>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</si>
  <si>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</si>
  <si>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</si>
  <si>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</si>
  <si>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</si>
  <si>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</si>
  <si>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</si>
  <si>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</si>
  <si>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</si>
  <si>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</si>
  <si>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</si>
  <si>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</si>
  <si>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</si>
  <si>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</si>
  <si>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</si>
  <si>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</si>
  <si>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</si>
  <si>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</si>
  <si>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</si>
  <si>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</si>
  <si>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</si>
  <si>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</si>
  <si>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</si>
  <si>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</si>
  <si>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</si>
  <si>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</si>
  <si>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</si>
  <si>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</si>
  <si>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</si>
  <si>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</si>
  <si>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</si>
  <si>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</si>
  <si>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</si>
  <si>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</si>
  <si>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</si>
  <si>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</si>
  <si>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</si>
  <si>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</si>
  <si>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</si>
  <si>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</si>
  <si>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</si>
  <si>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</si>
  <si>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</si>
  <si>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</si>
  <si>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</si>
  <si>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</si>
  <si>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</si>
  <si>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</si>
  <si>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</si>
  <si>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</si>
  <si>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</si>
  <si>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</si>
  <si>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</si>
  <si>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</si>
  <si>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</si>
  <si>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</si>
  <si>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</si>
  <si>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</si>
  <si>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</si>
  <si>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</si>
  <si>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</si>
  <si>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</si>
  <si>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</si>
  <si>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</si>
  <si>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</si>
  <si>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</si>
  <si>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</si>
  <si>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</si>
  <si>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</si>
  <si>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</si>
  <si>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</si>
  <si>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</si>
  <si>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</si>
  <si>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</si>
  <si>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</si>
  <si>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</si>
  <si>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</si>
  <si>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</si>
  <si>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</si>
  <si>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</si>
  <si>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</si>
  <si>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</si>
  <si>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</si>
  <si>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</si>
  <si>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</si>
  <si>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</si>
  <si>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</si>
  <si>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</si>
  <si>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</si>
  <si>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</si>
  <si>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</si>
  <si>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</si>
  <si>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</si>
  <si>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</si>
  <si>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</si>
  <si>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</si>
  <si>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</si>
  <si>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</si>
  <si>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</si>
  <si>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</si>
  <si>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</si>
  <si>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</si>
  <si>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</si>
  <si>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</si>
  <si>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</si>
  <si>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</si>
  <si>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</si>
  <si>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</si>
  <si>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</si>
  <si>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</si>
  <si>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</si>
  <si>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</si>
  <si>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</si>
  <si>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</si>
  <si>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</si>
  <si>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</si>
  <si>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</si>
  <si>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</si>
  <si>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</si>
  <si>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</si>
  <si>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</si>
  <si>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</si>
  <si>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</si>
  <si>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</si>
  <si>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</si>
  <si>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</si>
  <si>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</si>
  <si>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</si>
  <si>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</si>
  <si>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</si>
  <si>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</si>
  <si>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</si>
  <si>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</si>
  <si>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</si>
  <si>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</si>
  <si>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</si>
  <si>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</si>
  <si>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</si>
  <si>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</si>
  <si>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</si>
  <si>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</si>
  <si>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</si>
  <si>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</si>
  <si>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</si>
  <si>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</si>
  <si>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</si>
  <si>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</si>
  <si>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</si>
  <si>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</si>
  <si>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</si>
  <si>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</si>
  <si>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</si>
  <si>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</si>
  <si>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</si>
  <si>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</si>
  <si>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</si>
  <si>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</si>
  <si>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</si>
  <si>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</si>
  <si>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</si>
  <si>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</si>
  <si>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</si>
  <si>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</si>
  <si>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</si>
  <si>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</si>
  <si>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</si>
  <si>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</si>
  <si>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</si>
  <si>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</si>
  <si>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</si>
  <si>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</si>
  <si>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</si>
  <si>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</si>
  <si>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</si>
  <si>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</si>
  <si>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</si>
  <si>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</si>
  <si>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</si>
  <si>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</si>
  <si>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</si>
  <si>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</si>
  <si>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</si>
  <si>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</si>
  <si>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</si>
  <si>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</si>
  <si>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</si>
  <si>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</si>
  <si>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</si>
  <si>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</si>
  <si>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</si>
  <si>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</si>
  <si>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</si>
  <si>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</si>
  <si>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</si>
  <si>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</si>
  <si>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</si>
  <si>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</si>
  <si>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</si>
  <si>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</si>
  <si>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</si>
  <si>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</si>
  <si>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</si>
  <si>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</si>
  <si>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</si>
  <si>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</si>
  <si>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</si>
  <si>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</si>
  <si>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</si>
  <si>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</si>
  <si>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</si>
  <si>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</si>
  <si>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</si>
  <si>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</si>
  <si>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</si>
  <si>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</si>
  <si>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</si>
  <si>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</si>
  <si>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</si>
  <si>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</si>
  <si>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</si>
  <si>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</si>
  <si>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</si>
  <si>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</si>
  <si>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</si>
  <si>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</si>
  <si>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</si>
  <si>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</si>
  <si>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</si>
  <si>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</si>
  <si>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</si>
  <si>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</si>
  <si>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</si>
  <si>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</si>
  <si>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</si>
  <si>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</si>
  <si>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</si>
  <si>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</si>
  <si>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</si>
  <si>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</si>
  <si>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</si>
  <si>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</si>
  <si>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</si>
  <si>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</si>
  <si>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</si>
  <si>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</si>
  <si>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</si>
  <si>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</si>
  <si>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</si>
  <si>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</si>
  <si>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</si>
  <si>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</si>
  <si>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</si>
  <si>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</si>
  <si>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</si>
  <si>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</si>
  <si>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</si>
  <si>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</si>
  <si>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</si>
  <si>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</si>
  <si>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</si>
  <si>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</si>
  <si>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</si>
  <si>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</si>
  <si>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</si>
  <si>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</si>
  <si>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</si>
  <si>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</si>
  <si>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</si>
  <si>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</si>
  <si>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</si>
  <si>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</si>
  <si>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</si>
  <si>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</si>
  <si>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</si>
  <si>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</si>
  <si>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</si>
  <si>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</si>
  <si>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</si>
  <si>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</si>
  <si>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</si>
  <si>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</si>
  <si>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</si>
  <si>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</si>
  <si>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</si>
  <si>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</si>
  <si>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</si>
  <si>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</si>
  <si>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</si>
  <si>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</si>
  <si>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</si>
  <si>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</si>
  <si>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</si>
  <si>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</si>
  <si>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</si>
  <si>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</si>
  <si>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</si>
  <si>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</si>
  <si>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</si>
  <si>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</si>
  <si>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</si>
  <si>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</si>
  <si>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</si>
  <si>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</si>
  <si>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</si>
  <si>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</si>
  <si>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</si>
  <si>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</si>
  <si>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</si>
  <si>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</si>
  <si>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</si>
  <si>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</si>
  <si>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</si>
  <si>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</si>
  <si>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</si>
  <si>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</si>
  <si>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</si>
  <si>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</si>
  <si>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</si>
  <si>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</si>
  <si>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</si>
  <si>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</si>
  <si>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</si>
  <si>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</si>
  <si>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</si>
  <si>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</si>
  <si>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</si>
  <si>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</si>
  <si>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</si>
  <si>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</si>
  <si>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</si>
  <si>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</si>
  <si>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</si>
  <si>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</si>
  <si>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</si>
  <si>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</si>
  <si>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</si>
  <si>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</si>
  <si>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</si>
  <si>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</si>
  <si>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</si>
  <si>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</si>
  <si>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</si>
  <si>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</si>
  <si>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</si>
  <si>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</si>
  <si>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</si>
  <si>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</si>
  <si>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</si>
  <si>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</si>
  <si>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</si>
  <si>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</si>
  <si>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</si>
  <si>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</si>
  <si>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</si>
  <si>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</si>
  <si>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</si>
  <si>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</si>
  <si>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</si>
  <si>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</si>
  <si>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</si>
  <si>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</si>
  <si>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</si>
  <si>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</si>
  <si>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</si>
  <si>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</si>
  <si>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</si>
  <si>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</si>
  <si>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</si>
  <si>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</si>
  <si>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</si>
  <si>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</si>
  <si>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</si>
  <si>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</si>
  <si>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</si>
  <si>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</si>
  <si>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</si>
  <si>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</si>
  <si>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</si>
  <si>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</si>
  <si>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</si>
  <si>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</si>
  <si>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</si>
  <si>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</si>
  <si>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</si>
  <si>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</si>
  <si>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</si>
  <si>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</si>
  <si>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</si>
  <si>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</si>
  <si>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</si>
  <si>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</si>
  <si>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</si>
  <si>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</si>
  <si>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</si>
  <si>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</si>
  <si>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</si>
  <si>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</si>
  <si>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</si>
  <si>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</si>
  <si>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</si>
  <si>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</si>
  <si>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</si>
  <si>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</si>
  <si>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</si>
  <si>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</si>
  <si>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</si>
  <si>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</si>
  <si>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</si>
  <si>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</si>
  <si>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</si>
  <si>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</si>
  <si>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</si>
  <si>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</si>
  <si>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</si>
  <si>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</si>
  <si>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</si>
  <si>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</si>
  <si>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</si>
  <si>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</si>
  <si>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</si>
  <si>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</si>
  <si>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</si>
  <si>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</si>
  <si>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</si>
  <si>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</si>
  <si>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</si>
  <si>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</si>
  <si>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</si>
  <si>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</si>
  <si>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</si>
  <si>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</si>
  <si>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</si>
  <si>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</si>
  <si>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</si>
  <si>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</si>
  <si>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</si>
  <si>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</si>
  <si>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</si>
  <si>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</si>
  <si>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</si>
  <si>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</si>
  <si>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</si>
  <si>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</si>
  <si>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</si>
  <si>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</si>
  <si>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</si>
  <si>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</si>
  <si>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</si>
  <si>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</si>
  <si>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</si>
  <si>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</si>
  <si>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</si>
  <si>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</si>
  <si>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</si>
  <si>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</si>
  <si>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</si>
  <si>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</si>
  <si>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</si>
  <si>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</si>
  <si>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</si>
  <si>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</si>
  <si>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</si>
  <si>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</si>
  <si>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</si>
  <si>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</si>
  <si>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</si>
  <si>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</si>
  <si>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</si>
  <si>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</si>
  <si>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</si>
  <si>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</si>
  <si>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</si>
  <si>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</si>
  <si>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</si>
  <si>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</si>
  <si>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</si>
  <si>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</si>
  <si>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</si>
  <si>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</si>
  <si>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</si>
  <si>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</si>
  <si>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</si>
  <si>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</si>
  <si>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</si>
  <si>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</si>
  <si>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</si>
  <si>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</si>
  <si>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</si>
  <si>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</si>
  <si>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</si>
  <si>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</si>
  <si>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</si>
  <si>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</si>
  <si>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</si>
  <si>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</si>
  <si>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</si>
  <si>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</si>
  <si>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</si>
  <si>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</si>
  <si>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</si>
  <si>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</si>
  <si>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</si>
  <si>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</si>
  <si>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</si>
  <si>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</si>
  <si>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</si>
  <si>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</si>
  <si>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</si>
  <si>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</si>
  <si>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</si>
  <si>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</si>
  <si>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</si>
  <si>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</si>
  <si>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</si>
  <si>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</si>
  <si>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</si>
  <si>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</si>
  <si>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</si>
  <si>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</si>
  <si>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</si>
  <si>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</si>
  <si>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</si>
  <si>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</si>
  <si>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</si>
  <si>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</si>
  <si>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</si>
  <si>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</si>
  <si>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</si>
  <si>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</si>
  <si>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</si>
  <si>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</si>
  <si>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</si>
  <si>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</si>
  <si>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</si>
  <si>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</si>
  <si>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</si>
  <si>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</si>
  <si>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</si>
  <si>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</si>
  <si>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</si>
  <si>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</si>
  <si>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</si>
  <si>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</si>
  <si>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</si>
  <si>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</si>
  <si>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</si>
  <si>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</si>
  <si>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</si>
  <si>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</si>
  <si>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</si>
  <si>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</si>
  <si>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</si>
  <si>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</si>
  <si>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</si>
  <si>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</si>
  <si>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</si>
  <si>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</si>
  <si>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</si>
  <si>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</si>
  <si>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</si>
  <si>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</si>
  <si>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</si>
  <si>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</si>
  <si>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</si>
  <si>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</si>
  <si>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</si>
  <si>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</si>
  <si>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</si>
  <si>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</si>
  <si>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</si>
  <si>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</si>
  <si>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</si>
  <si>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</si>
  <si>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</si>
  <si>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</si>
  <si>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</si>
  <si>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</si>
  <si>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</si>
  <si>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</si>
  <si>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</si>
  <si>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</si>
  <si>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</si>
  <si>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</si>
  <si>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</si>
  <si>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</si>
  <si>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</si>
  <si>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</si>
  <si>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</si>
  <si>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</si>
  <si>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</si>
  <si>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</si>
  <si>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</si>
  <si>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</si>
  <si>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</si>
  <si>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</si>
  <si>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</si>
  <si>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</si>
  <si>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</si>
  <si>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</si>
  <si>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</si>
  <si>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</si>
  <si>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</si>
  <si>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</si>
  <si>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</si>
  <si>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</si>
  <si>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</si>
  <si>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</si>
  <si>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</si>
  <si>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</si>
  <si>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</si>
  <si>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</si>
  <si>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</si>
  <si>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</si>
  <si>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</si>
  <si>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</si>
  <si>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</si>
  <si>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</si>
  <si>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</si>
  <si>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</si>
  <si>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</si>
  <si>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</si>
  <si>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</si>
  <si>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</si>
  <si>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</si>
  <si>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</si>
  <si>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</si>
  <si>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</si>
  <si>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</si>
  <si>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</si>
  <si>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</si>
  <si>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</si>
  <si>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</si>
  <si>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</si>
  <si>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</si>
  <si>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</si>
  <si>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</si>
  <si>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</si>
  <si>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</si>
  <si>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</si>
  <si>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</si>
  <si>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</si>
  <si>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</si>
  <si>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</si>
  <si>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</si>
  <si>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</si>
  <si>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</si>
  <si>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</si>
  <si>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</si>
  <si>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</si>
  <si>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</si>
  <si>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</si>
  <si>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</si>
  <si>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</si>
  <si>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</si>
  <si>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</si>
  <si>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</si>
  <si>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</si>
  <si>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</si>
  <si>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</si>
  <si>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</si>
  <si>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</si>
  <si>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</si>
  <si>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</si>
  <si>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</si>
  <si>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</si>
  <si>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</si>
  <si>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</si>
  <si>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</si>
  <si>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</si>
  <si>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</si>
  <si>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</si>
  <si>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</si>
  <si>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</si>
  <si>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</si>
  <si>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</si>
  <si>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</si>
  <si>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</si>
  <si>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</si>
  <si>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</si>
  <si>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</si>
  <si>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</si>
  <si>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</si>
  <si>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</si>
  <si>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</si>
  <si>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</si>
  <si>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</si>
  <si>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</si>
  <si>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</si>
  <si>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</si>
  <si>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</si>
  <si>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</si>
  <si>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</si>
  <si>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</si>
  <si>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</si>
  <si>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</si>
  <si>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</si>
  <si>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</si>
  <si>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</si>
  <si>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</si>
  <si>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</si>
  <si>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</si>
  <si>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</si>
  <si>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</si>
  <si>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</si>
  <si>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</si>
  <si>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</si>
  <si>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</si>
  <si>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</si>
  <si>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</si>
  <si>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</si>
  <si>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</si>
  <si>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</si>
  <si>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</si>
  <si>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</si>
  <si>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</si>
  <si>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</si>
  <si>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</si>
  <si>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</si>
  <si>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</si>
  <si>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</si>
  <si>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</si>
  <si>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</si>
  <si>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</si>
  <si>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</si>
  <si>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</si>
  <si>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</si>
  <si>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</si>
  <si>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</si>
  <si>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</si>
  <si>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</si>
  <si>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</si>
  <si>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</si>
  <si>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</si>
  <si>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</si>
  <si>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</si>
  <si>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</si>
  <si>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</si>
  <si>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</si>
  <si>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</si>
  <si>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</si>
  <si>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</si>
  <si>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</si>
  <si>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</si>
  <si>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</si>
  <si>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</si>
  <si>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</si>
  <si>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</si>
  <si>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</si>
  <si>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</si>
  <si>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</si>
  <si>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</si>
  <si>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</si>
  <si>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</si>
  <si>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</si>
  <si>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</si>
  <si>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</si>
  <si>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</si>
  <si>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</si>
  <si>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</si>
  <si>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</si>
  <si>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</si>
  <si>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</si>
  <si>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</si>
  <si>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</si>
  <si>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</si>
  <si>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</si>
  <si>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</si>
  <si>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</si>
  <si>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</si>
  <si>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</si>
  <si>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</si>
  <si>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</si>
  <si>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</si>
  <si>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</si>
  <si>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</si>
  <si>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</si>
  <si>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</si>
  <si>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</si>
  <si>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</si>
  <si>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</si>
  <si>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</si>
  <si>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</si>
  <si>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</si>
  <si>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</si>
  <si>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</si>
  <si>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</si>
  <si>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</si>
  <si>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</si>
  <si>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</si>
  <si>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</si>
  <si>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</si>
  <si>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</si>
  <si>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</si>
  <si>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</si>
  <si>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</si>
  <si>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</si>
  <si>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</si>
  <si>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</si>
  <si>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</si>
  <si>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</si>
  <si>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</si>
  <si>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</si>
  <si>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</si>
  <si>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</si>
  <si>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</si>
  <si>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</si>
  <si>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</si>
  <si>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</si>
  <si>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</si>
  <si>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</si>
  <si>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</si>
  <si>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</si>
  <si>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</si>
  <si>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</si>
  <si>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</si>
  <si>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</si>
  <si>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</si>
  <si>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</si>
  <si>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</si>
  <si>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</si>
  <si>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</si>
  <si>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</si>
  <si>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</si>
  <si>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</si>
  <si>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</si>
  <si>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</si>
  <si>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</si>
  <si>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</si>
  <si>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</si>
  <si>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</si>
  <si>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</si>
  <si>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</si>
  <si>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</si>
  <si>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</si>
  <si>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</si>
  <si>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</si>
  <si>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</si>
  <si>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</si>
  <si>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</si>
  <si>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</si>
  <si>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</si>
  <si>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</si>
  <si>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</si>
  <si>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</si>
  <si>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</si>
  <si>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</si>
  <si>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</si>
  <si>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</si>
  <si>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</si>
  <si>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</si>
  <si>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</si>
  <si>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</si>
  <si>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</si>
  <si>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</si>
  <si>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</si>
  <si>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</si>
  <si>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</si>
  <si>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</si>
  <si>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</si>
  <si>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</si>
  <si>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</si>
  <si>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</si>
  <si>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</si>
  <si>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</si>
  <si>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</si>
  <si>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</si>
  <si>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</si>
  <si>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</si>
  <si>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</si>
  <si>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</si>
  <si>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</si>
  <si>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</si>
  <si>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</si>
  <si>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</si>
  <si>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</si>
  <si>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</si>
  <si>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</si>
  <si>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</si>
  <si>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</si>
  <si>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</si>
  <si>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</si>
  <si>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</si>
  <si>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</si>
  <si>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</si>
  <si>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</si>
  <si>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</si>
  <si>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</si>
  <si>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</si>
  <si>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</si>
  <si>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</si>
  <si>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</si>
  <si>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</si>
  <si>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</si>
  <si>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</si>
  <si>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</si>
  <si>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</si>
  <si>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</si>
  <si>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</si>
  <si>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</si>
  <si>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</si>
  <si>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</si>
  <si>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</si>
  <si>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</si>
  <si>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</si>
  <si>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</si>
  <si>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</si>
  <si>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</si>
  <si>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</si>
  <si>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</si>
  <si>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</si>
  <si>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</si>
  <si>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</si>
  <si>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</si>
  <si>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</si>
  <si>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</si>
  <si>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</si>
  <si>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</si>
  <si>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</si>
  <si>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</si>
  <si>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</si>
  <si>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</si>
  <si>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</si>
  <si>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</si>
  <si>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</si>
  <si>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</si>
  <si>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</si>
  <si>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</si>
  <si>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</si>
  <si>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</si>
  <si>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</si>
  <si>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</si>
  <si>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</si>
  <si>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</si>
  <si>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</si>
  <si>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</si>
  <si>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</si>
  <si>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</si>
  <si>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</si>
  <si>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</si>
  <si>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</si>
  <si>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</si>
  <si>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</si>
  <si>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</si>
  <si>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</si>
  <si>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</si>
  <si>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</si>
  <si>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</si>
  <si>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</si>
  <si>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</si>
  <si>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</si>
  <si>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</si>
  <si>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</si>
  <si>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</si>
  <si>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</si>
  <si>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</si>
  <si>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</si>
  <si>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</si>
  <si>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</si>
  <si>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</si>
  <si>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</si>
  <si>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</si>
  <si>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</si>
  <si>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</si>
  <si>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</si>
  <si>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</si>
  <si>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</si>
  <si>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</si>
  <si>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</si>
  <si>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</si>
  <si>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</si>
  <si>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</si>
  <si>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</si>
  <si>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</si>
  <si>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</si>
  <si>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</si>
  <si>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</si>
  <si>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</si>
  <si>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</si>
  <si>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</si>
  <si>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</si>
  <si>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</si>
  <si>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</si>
  <si>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</si>
  <si>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</si>
  <si>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</si>
  <si>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</si>
  <si>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</si>
  <si>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</si>
  <si>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</si>
  <si>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</si>
  <si>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</si>
  <si>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</si>
  <si>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</si>
  <si>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</si>
  <si>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</si>
  <si>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</si>
  <si>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</si>
  <si>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</si>
  <si>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</si>
  <si>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</si>
  <si>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</si>
  <si>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</si>
  <si>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</si>
  <si>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</si>
  <si>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</si>
  <si>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</si>
  <si>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</si>
  <si>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</si>
  <si>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</si>
  <si>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</si>
  <si>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</si>
  <si>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</si>
  <si>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</si>
  <si>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</si>
  <si>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</si>
  <si>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</si>
  <si>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</si>
  <si>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</si>
  <si>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</si>
  <si>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</si>
  <si>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</si>
  <si>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</si>
  <si>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</si>
  <si>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</si>
  <si>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</si>
  <si>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</si>
  <si>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</si>
  <si>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</si>
  <si>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</si>
  <si>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</si>
  <si>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</si>
  <si>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</si>
  <si>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</si>
  <si>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</si>
  <si>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</si>
  <si>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</si>
  <si>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</si>
  <si>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</si>
  <si>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</si>
  <si>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</si>
  <si>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</si>
  <si>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</si>
  <si>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</si>
  <si>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</si>
  <si>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</si>
  <si>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</si>
  <si>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</si>
  <si>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</si>
  <si>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</si>
  <si>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</si>
  <si>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</si>
  <si>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</si>
  <si>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</si>
  <si>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</si>
  <si>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</si>
  <si>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</si>
  <si>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</si>
  <si>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</si>
  <si>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</si>
  <si>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</si>
  <si>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</si>
  <si>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</si>
  <si>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</si>
  <si>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</si>
  <si>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</si>
  <si>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</si>
  <si>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</si>
  <si>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</si>
  <si>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</si>
  <si>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</si>
  <si>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</si>
  <si>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</si>
  <si>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</si>
  <si>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</si>
  <si>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</si>
  <si>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</si>
  <si>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</si>
  <si>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</si>
  <si>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</si>
  <si>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</si>
  <si>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</si>
  <si>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</si>
  <si>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</si>
  <si>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</si>
  <si>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</si>
  <si>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</si>
  <si>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</si>
  <si>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</si>
  <si>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</si>
  <si>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</si>
  <si>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</si>
  <si>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</si>
  <si>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</si>
  <si>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</si>
  <si>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</si>
  <si>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</si>
  <si>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</si>
  <si>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</si>
  <si>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</si>
  <si>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</si>
  <si>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</si>
  <si>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</si>
  <si>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</si>
  <si>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</si>
  <si>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</si>
  <si>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</si>
  <si>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</si>
  <si>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</si>
  <si>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</si>
  <si>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</si>
  <si>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</si>
  <si>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</si>
  <si>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</si>
  <si>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</si>
  <si>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</si>
  <si>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</si>
  <si>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</si>
  <si>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</si>
  <si>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</si>
  <si>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</si>
  <si>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</si>
  <si>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</si>
  <si>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</si>
  <si>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</si>
  <si>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</si>
  <si>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</si>
  <si>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</si>
  <si>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</si>
  <si>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</si>
  <si>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</si>
  <si>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</si>
  <si>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</si>
  <si>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</si>
  <si>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</si>
  <si>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</si>
  <si>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</si>
  <si>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</si>
  <si>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</si>
  <si>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</si>
  <si>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</si>
  <si>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</si>
  <si>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</si>
  <si>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</si>
  <si>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</si>
  <si>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</si>
  <si>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</si>
  <si>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</si>
  <si>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</si>
  <si>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</si>
  <si>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</si>
  <si>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</si>
  <si>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</si>
  <si>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</si>
  <si>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</si>
  <si>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</si>
  <si>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</si>
  <si>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</si>
  <si>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</si>
  <si>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</si>
  <si>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</si>
  <si>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</si>
  <si>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</si>
  <si>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</si>
  <si>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</si>
  <si>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</si>
  <si>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</si>
  <si>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</si>
  <si>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</si>
  <si>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</si>
  <si>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</si>
  <si>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</si>
  <si>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</si>
  <si>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</si>
  <si>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</si>
  <si>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</si>
  <si>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</si>
  <si>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</si>
  <si>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</si>
  <si>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</si>
  <si>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</si>
  <si>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</si>
  <si>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</si>
  <si>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</si>
  <si>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</si>
  <si>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</si>
  <si>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</si>
  <si>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</si>
  <si>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</si>
  <si>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</si>
  <si>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</si>
  <si>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</si>
  <si>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</si>
  <si>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</si>
  <si>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</si>
  <si>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</si>
  <si>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</si>
  <si>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</si>
  <si>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</si>
  <si>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</si>
  <si>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</si>
  <si>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</si>
  <si>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</si>
  <si>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</si>
  <si>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</si>
  <si>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</si>
  <si>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</si>
  <si>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</si>
  <si>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</si>
  <si>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</si>
  <si>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</si>
  <si>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</si>
  <si>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</si>
  <si>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</si>
  <si>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</si>
  <si>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</si>
  <si>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</si>
  <si>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</si>
  <si>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</si>
  <si>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</si>
  <si>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</si>
  <si>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</si>
  <si>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</si>
  <si>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</si>
  <si>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</si>
  <si>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</si>
  <si>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</si>
  <si>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</si>
  <si>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</si>
  <si>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</si>
  <si>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</si>
  <si>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</si>
  <si>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</si>
  <si>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</si>
  <si>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</si>
  <si>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</si>
  <si>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</si>
  <si>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</si>
  <si>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</si>
  <si>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</si>
  <si>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</si>
  <si>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</si>
  <si>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</si>
  <si>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</si>
  <si>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</si>
  <si>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</si>
  <si>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</si>
  <si>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</si>
  <si>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</si>
  <si>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</si>
  <si>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</si>
  <si>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</si>
  <si>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</si>
  <si>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</si>
  <si>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</si>
  <si>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</si>
  <si>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</si>
  <si>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</si>
  <si>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</si>
  <si>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</si>
  <si>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</si>
  <si>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</si>
  <si>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</si>
  <si>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</si>
  <si>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</si>
  <si>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</si>
  <si>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</si>
  <si>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</si>
  <si>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</si>
  <si>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</si>
  <si>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</si>
  <si>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</si>
  <si>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</si>
  <si>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</si>
  <si>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</si>
  <si>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</si>
  <si>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</si>
  <si>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</si>
  <si>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</si>
  <si>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</si>
  <si>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</si>
  <si>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</si>
  <si>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</si>
  <si>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</si>
  <si>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</si>
  <si>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</si>
  <si>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</si>
  <si>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</si>
  <si>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</si>
  <si>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</si>
  <si>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</si>
  <si>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</si>
  <si>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</si>
  <si>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</si>
  <si>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</si>
  <si>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</si>
  <si>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</si>
  <si>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</si>
  <si>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</si>
  <si>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</si>
  <si>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</si>
  <si>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</si>
  <si>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</si>
  <si>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</si>
  <si>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</si>
  <si>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</si>
  <si>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</si>
  <si>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</si>
  <si>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</si>
  <si>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</si>
  <si>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</si>
  <si>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</si>
  <si>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</si>
  <si>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</si>
  <si>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</si>
  <si>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</si>
  <si>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</si>
  <si>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</si>
  <si>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</si>
  <si>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</si>
  <si>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</si>
  <si>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</si>
  <si>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</si>
  <si>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</si>
  <si>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</si>
  <si>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</si>
  <si>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</si>
  <si>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</si>
  <si>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</si>
  <si>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</si>
  <si>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</si>
  <si>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</si>
  <si>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</si>
  <si>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</si>
  <si>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</si>
  <si>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</si>
  <si>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</si>
  <si>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</si>
  <si>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</si>
  <si>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</si>
  <si>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</si>
  <si>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</si>
  <si>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</si>
  <si>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</si>
  <si>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</si>
  <si>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</si>
  <si>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</si>
  <si>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</si>
  <si>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</si>
  <si>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</si>
  <si>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</si>
  <si>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</si>
  <si>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</si>
  <si>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</si>
  <si>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</si>
  <si>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</si>
  <si>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</si>
  <si>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</si>
  <si>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</si>
  <si>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</si>
  <si>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</si>
  <si>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</si>
  <si>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</si>
  <si>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</si>
  <si>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</si>
  <si>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</si>
  <si>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</si>
  <si>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</si>
  <si>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</si>
  <si>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</si>
  <si>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</si>
  <si>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</si>
  <si>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</si>
  <si>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</si>
  <si>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</si>
  <si>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</si>
  <si>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</si>
  <si>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</si>
  <si>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</si>
  <si>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</si>
  <si>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</si>
  <si>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</si>
  <si>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</si>
  <si>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</si>
  <si>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</si>
  <si>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</si>
  <si>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</si>
  <si>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</si>
  <si>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</si>
  <si>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</si>
  <si>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</si>
  <si>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</si>
  <si>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</si>
  <si>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</si>
  <si>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</si>
  <si>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</si>
  <si>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</si>
  <si>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</si>
  <si>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</si>
  <si>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</si>
  <si>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</si>
  <si>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</si>
  <si>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</si>
  <si>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</si>
  <si>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</si>
  <si>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</si>
  <si>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</si>
  <si>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</si>
  <si>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</si>
  <si>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</si>
  <si>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</si>
  <si>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</si>
  <si>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</si>
  <si>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</si>
  <si>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</si>
  <si>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</si>
  <si>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</si>
  <si>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</si>
  <si>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</si>
  <si>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</si>
  <si>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</si>
  <si>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</si>
  <si>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</si>
  <si>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</si>
  <si>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</si>
  <si>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</si>
  <si>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</si>
  <si>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</si>
  <si>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</si>
  <si>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</si>
  <si>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</si>
  <si>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</si>
  <si>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</si>
  <si>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</si>
  <si>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</si>
  <si>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</si>
  <si>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</si>
  <si>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</si>
  <si>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</si>
  <si>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</si>
  <si>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</si>
  <si>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</si>
  <si>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</si>
  <si>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</si>
  <si>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</si>
  <si>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</si>
  <si>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</si>
  <si>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</si>
  <si>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</si>
  <si>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</si>
  <si>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</si>
  <si>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</si>
  <si>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</si>
  <si>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</si>
  <si>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</si>
  <si>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</si>
  <si>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</si>
  <si>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</si>
  <si>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</si>
  <si>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</si>
  <si>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</si>
  <si>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</si>
  <si>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</si>
  <si>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</si>
  <si>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</si>
  <si>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</si>
  <si>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</si>
  <si>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</si>
  <si>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</si>
  <si>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</si>
  <si>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</si>
  <si>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</si>
  <si>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</si>
  <si>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</si>
  <si>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</si>
  <si>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</si>
  <si>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</si>
  <si>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</si>
  <si>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</si>
  <si>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</si>
  <si>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</si>
  <si>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</si>
  <si>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</si>
  <si>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</si>
  <si>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</si>
  <si>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</si>
  <si>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</si>
  <si>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</si>
  <si>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</si>
  <si>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</si>
  <si>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</si>
  <si>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</si>
  <si>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</si>
  <si>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</si>
  <si>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</si>
  <si>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</si>
  <si>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</si>
  <si>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</si>
  <si>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</si>
  <si>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</si>
  <si>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</si>
  <si>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</si>
  <si>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</si>
  <si>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</si>
  <si>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</si>
  <si>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</si>
  <si>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</si>
  <si>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</si>
  <si>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</si>
  <si>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</si>
  <si>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</si>
  <si>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</si>
  <si>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</si>
  <si>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</si>
  <si>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</si>
  <si>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</si>
  <si>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</si>
  <si>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</si>
  <si>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</si>
  <si>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</si>
  <si>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</si>
  <si>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</si>
  <si>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</si>
  <si>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</si>
  <si>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</si>
  <si>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</si>
  <si>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</si>
  <si>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</si>
  <si>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</si>
  <si>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</si>
  <si>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</si>
  <si>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</si>
  <si>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</si>
  <si>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</si>
  <si>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</si>
  <si>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</si>
  <si>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</si>
  <si>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</si>
  <si>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</si>
  <si>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</si>
  <si>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</si>
  <si>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</si>
  <si>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</si>
  <si>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</si>
  <si>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</si>
  <si>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</si>
  <si>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</si>
  <si>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</si>
  <si>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</si>
  <si>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</si>
  <si>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</si>
  <si>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</si>
  <si>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</si>
  <si>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</si>
  <si>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</si>
  <si>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</si>
  <si>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</si>
  <si>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</si>
  <si>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</si>
  <si>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</si>
  <si>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</si>
  <si>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</si>
  <si>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</si>
  <si>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</si>
  <si>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</si>
  <si>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</si>
  <si>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</si>
  <si>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</si>
  <si>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</si>
  <si>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</si>
  <si>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</si>
  <si>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</si>
  <si>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</si>
  <si>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</si>
  <si>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</si>
  <si>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</si>
  <si>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</si>
  <si>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</si>
  <si>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</si>
  <si>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</si>
  <si>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</si>
  <si>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</si>
  <si>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</si>
  <si>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</si>
  <si>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</si>
  <si>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</si>
  <si>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</si>
  <si>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</si>
  <si>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</si>
  <si>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</si>
  <si>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</si>
  <si>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</si>
  <si>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</si>
  <si>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</si>
  <si>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</si>
  <si>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</si>
  <si>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</si>
  <si>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</si>
  <si>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</si>
  <si>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</si>
  <si>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</si>
  <si>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</si>
  <si>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</si>
  <si>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</si>
  <si>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</si>
  <si>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</si>
  <si>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</si>
  <si>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</si>
  <si>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</si>
  <si>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</si>
  <si>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</si>
  <si>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</si>
  <si>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</si>
  <si>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</si>
  <si>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</si>
  <si>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</si>
  <si>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</si>
  <si>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</si>
  <si>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</si>
  <si>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</si>
  <si>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</si>
  <si>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</si>
  <si>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</si>
  <si>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</si>
  <si>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</si>
  <si>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</si>
  <si>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</si>
  <si>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</si>
  <si>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</si>
  <si>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</si>
  <si>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</si>
  <si>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</si>
  <si>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</si>
  <si>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</si>
  <si>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</si>
  <si>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</si>
  <si>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</si>
  <si>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</si>
  <si>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</si>
  <si>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</si>
  <si>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</si>
  <si>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</si>
  <si>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</si>
  <si>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</si>
  <si>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</si>
  <si>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</si>
  <si>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</si>
  <si>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</si>
  <si>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</si>
  <si>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</si>
  <si>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</si>
  <si>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</si>
  <si>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</si>
  <si>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</si>
  <si>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</si>
  <si>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</si>
  <si>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</si>
  <si>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</si>
  <si>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</si>
  <si>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</si>
  <si>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</si>
  <si>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</si>
  <si>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</si>
  <si>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</si>
  <si>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</si>
  <si>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</si>
  <si>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</si>
  <si>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</si>
  <si>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</si>
  <si>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</si>
  <si>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</si>
  <si>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</si>
  <si>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</si>
  <si>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</si>
  <si>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</si>
  <si>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</si>
  <si>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</si>
  <si>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</si>
  <si>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</si>
  <si>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</si>
  <si>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</si>
  <si>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</si>
  <si>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</si>
  <si>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</si>
  <si>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</si>
  <si>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</si>
  <si>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</si>
  <si>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</si>
  <si>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</si>
  <si>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</si>
  <si>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</si>
  <si>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</si>
  <si>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</si>
  <si>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</si>
  <si>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</si>
  <si>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</si>
  <si>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</si>
  <si>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</si>
  <si>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</si>
  <si>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</si>
  <si>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</si>
  <si>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</si>
  <si>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</si>
  <si>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</si>
  <si>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</si>
  <si>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</si>
  <si>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</si>
  <si>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</si>
  <si>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</si>
  <si>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</si>
  <si>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</si>
  <si>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</si>
  <si>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</si>
  <si>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</si>
  <si>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</si>
  <si>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</si>
  <si>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</si>
  <si>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</si>
  <si>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</si>
  <si>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</si>
  <si>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</si>
  <si>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</si>
  <si>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</si>
  <si>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</si>
  <si>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</si>
  <si>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</si>
  <si>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</si>
  <si>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</si>
  <si>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</si>
  <si>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</si>
  <si>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</si>
  <si>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</si>
  <si>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</si>
  <si>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</si>
  <si>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</si>
  <si>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</si>
  <si>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</si>
  <si>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</si>
  <si>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</si>
  <si>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</si>
  <si>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</si>
  <si>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</si>
  <si>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</si>
  <si>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</si>
  <si>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</si>
  <si>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</si>
  <si>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</si>
  <si>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</si>
  <si>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</si>
  <si>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</si>
  <si>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</si>
  <si>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</si>
  <si>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</si>
  <si>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</si>
  <si>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</si>
  <si>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</si>
  <si>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</si>
  <si>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</si>
  <si>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</si>
  <si>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</si>
  <si>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</si>
  <si>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</si>
  <si>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</si>
  <si>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</si>
  <si>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</si>
  <si>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</si>
  <si>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</si>
  <si>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</si>
  <si>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</si>
  <si>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</si>
  <si>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</si>
  <si>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</si>
  <si>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</si>
  <si>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</si>
  <si>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</si>
  <si>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</si>
  <si>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</si>
  <si>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</si>
  <si>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</si>
  <si>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</si>
  <si>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</si>
  <si>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</si>
  <si>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</si>
  <si>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</si>
  <si>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</si>
  <si>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</si>
  <si>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</si>
  <si>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</si>
  <si>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</si>
  <si>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</si>
  <si>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</si>
  <si>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</si>
  <si>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</si>
  <si>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</si>
  <si>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</si>
  <si>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</si>
  <si>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</si>
  <si>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</si>
  <si>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</si>
  <si>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</si>
  <si>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</si>
  <si>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</si>
  <si>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</si>
  <si>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</si>
  <si>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</si>
  <si>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</si>
  <si>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</si>
  <si>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</si>
  <si>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</si>
  <si>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</si>
  <si>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</si>
  <si>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</si>
  <si>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</si>
  <si>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</si>
  <si>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</si>
  <si>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</si>
  <si>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</si>
  <si>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</si>
  <si>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</si>
  <si>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</si>
  <si>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</si>
  <si>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</si>
  <si>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</si>
  <si>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</si>
  <si>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</si>
  <si>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</si>
  <si>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</si>
  <si>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</si>
  <si>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</si>
  <si>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</si>
  <si>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</si>
  <si>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</si>
  <si>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</si>
  <si>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</si>
  <si>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</si>
  <si>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</si>
  <si>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</si>
  <si>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</si>
  <si>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</si>
  <si>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</si>
  <si>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</si>
  <si>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</si>
  <si>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</si>
  <si>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</si>
  <si>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</si>
  <si>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</si>
  <si>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</si>
  <si>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</si>
  <si>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</si>
  <si>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</si>
  <si>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</si>
  <si>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</si>
  <si>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</si>
  <si>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</si>
  <si>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</si>
  <si>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</si>
  <si>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</si>
  <si>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</si>
  <si>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</si>
  <si>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</si>
  <si>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</si>
  <si>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</si>
  <si>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</si>
  <si>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</si>
  <si>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</si>
  <si>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</si>
  <si>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</si>
  <si>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</si>
  <si>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</si>
  <si>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</si>
  <si>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</si>
  <si>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</si>
  <si>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</si>
  <si>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</si>
  <si>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</si>
  <si>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</si>
  <si>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</si>
  <si>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</si>
  <si>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</si>
  <si>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</si>
  <si>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</si>
  <si>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</si>
  <si>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</si>
  <si>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</si>
  <si>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</si>
  <si>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</si>
  <si>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</si>
  <si>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</si>
  <si>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</si>
  <si>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</si>
  <si>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</si>
  <si>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</si>
  <si>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</si>
  <si>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</si>
  <si>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</si>
  <si>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</si>
  <si>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</si>
  <si>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</si>
  <si>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</si>
  <si>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</si>
  <si>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</si>
  <si>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</si>
  <si>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</si>
  <si>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</si>
  <si>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</si>
  <si>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</si>
  <si>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</si>
  <si>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</si>
  <si>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</si>
  <si>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</si>
  <si>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</si>
  <si>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</si>
  <si>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</si>
  <si>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</si>
  <si>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</si>
  <si>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</si>
  <si>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</si>
  <si>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</si>
  <si>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</si>
  <si>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</si>
  <si>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</si>
  <si>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</si>
  <si>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</si>
  <si>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</si>
  <si>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</si>
  <si>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</si>
  <si>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</si>
  <si>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</si>
  <si>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</si>
  <si>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</si>
  <si>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</si>
  <si>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</si>
  <si>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</si>
  <si>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</si>
  <si>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</si>
  <si>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</si>
  <si>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</si>
  <si>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</si>
  <si>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</si>
  <si>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</si>
  <si>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</si>
  <si>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</si>
  <si>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</si>
  <si>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</si>
  <si>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</si>
  <si>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</si>
  <si>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</si>
  <si>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</si>
  <si>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</si>
  <si>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</si>
  <si>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</si>
  <si>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</si>
  <si>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</si>
  <si>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</si>
  <si>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</si>
  <si>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</si>
  <si>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</si>
  <si>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</si>
  <si>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</si>
  <si>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</si>
  <si>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</si>
  <si>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</si>
  <si>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</si>
  <si>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</si>
  <si>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</si>
  <si>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</si>
  <si>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</si>
  <si>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</si>
  <si>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</si>
  <si>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</si>
  <si>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</si>
  <si>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</si>
  <si>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</si>
  <si>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</si>
  <si>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</si>
  <si>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</si>
  <si>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</si>
  <si>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</si>
  <si>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</si>
  <si>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</si>
  <si>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</si>
  <si>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</si>
  <si>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</si>
  <si>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</si>
  <si>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</si>
  <si>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</si>
  <si>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</si>
  <si>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</si>
  <si>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</si>
  <si>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</si>
  <si>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</si>
  <si>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</si>
  <si>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</si>
  <si>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</si>
  <si>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</si>
  <si>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</si>
  <si>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</si>
  <si>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</si>
  <si>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</si>
  <si>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</si>
  <si>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</si>
  <si>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</si>
  <si>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</si>
  <si>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</si>
  <si>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</si>
  <si>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</si>
  <si>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</si>
  <si>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</si>
  <si>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</si>
  <si>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</si>
  <si>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</si>
  <si>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</si>
  <si>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</si>
  <si>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</si>
  <si>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</si>
  <si>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</si>
  <si>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</si>
  <si>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</si>
  <si>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</si>
  <si>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</si>
  <si>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</si>
  <si>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</si>
  <si>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</si>
  <si>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</si>
  <si>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</si>
  <si>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</si>
  <si>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</si>
  <si>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</si>
  <si>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</si>
  <si>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</si>
  <si>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</si>
  <si>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</si>
  <si>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</si>
  <si>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</si>
  <si>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</si>
  <si>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</si>
  <si>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</si>
  <si>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</si>
  <si>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</si>
  <si>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</si>
  <si>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</si>
  <si>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</si>
  <si>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</si>
  <si>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</si>
  <si>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</si>
  <si>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</si>
  <si>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</si>
  <si>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</si>
  <si>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</si>
  <si>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</si>
  <si>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</si>
  <si>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</si>
  <si>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</si>
  <si>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</si>
  <si>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</si>
  <si>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</si>
  <si>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</si>
  <si>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</si>
  <si>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</si>
  <si>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</si>
  <si>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</si>
  <si>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</si>
  <si>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</si>
  <si>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</si>
  <si>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</si>
  <si>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</si>
  <si>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</si>
  <si>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</si>
  <si>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</si>
  <si>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</si>
  <si>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</si>
  <si>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</si>
  <si>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</si>
  <si>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</si>
  <si>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</si>
  <si>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</si>
  <si>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</si>
  <si>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</si>
  <si>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</si>
  <si>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</si>
  <si>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</si>
  <si>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</si>
  <si>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</si>
  <si>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</si>
  <si>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</si>
  <si>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</si>
  <si>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</si>
  <si>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</si>
  <si>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</si>
  <si>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</si>
  <si>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</si>
  <si>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</si>
  <si>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</si>
  <si>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</si>
  <si>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</si>
  <si>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</si>
  <si>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</si>
  <si>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</si>
  <si>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</si>
  <si>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</si>
  <si>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</si>
  <si>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</si>
  <si>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</si>
  <si>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</si>
  <si>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</si>
  <si>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</si>
  <si>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</si>
  <si>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</si>
  <si>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</si>
  <si>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</si>
  <si>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</si>
  <si>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</si>
  <si>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</si>
  <si>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</si>
  <si>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</si>
  <si>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</si>
  <si>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</si>
  <si>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</si>
  <si>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</si>
  <si>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</si>
  <si>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</si>
  <si>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</si>
  <si>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</si>
  <si>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</si>
  <si>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</si>
  <si>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</si>
  <si>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</si>
  <si>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</si>
  <si>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</si>
  <si>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</si>
  <si>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</si>
  <si>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</si>
  <si>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</si>
  <si>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</si>
  <si>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</si>
  <si>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</si>
  <si>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</si>
  <si>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</si>
  <si>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</si>
  <si>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</si>
  <si>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</si>
  <si>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</si>
  <si>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</si>
  <si>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</si>
  <si>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</si>
  <si>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</si>
  <si>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</si>
  <si>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</si>
  <si>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</si>
  <si>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</si>
  <si>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</si>
  <si>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</si>
  <si>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</si>
  <si>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</si>
  <si>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</si>
  <si>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</si>
  <si>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</si>
  <si>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</si>
  <si>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</si>
  <si>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</si>
  <si>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</si>
  <si>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</si>
  <si>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</si>
  <si>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</si>
  <si>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</si>
  <si>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</si>
  <si>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</si>
  <si>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</si>
  <si>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</si>
  <si>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</si>
  <si>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</si>
  <si>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</si>
  <si>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</si>
  <si>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</si>
  <si>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</si>
  <si>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</si>
  <si>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</si>
  <si>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</si>
  <si>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</si>
  <si>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</si>
  <si>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</si>
  <si>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</si>
  <si>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</si>
  <si>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</si>
  <si>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</si>
  <si>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</si>
  <si>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</si>
  <si>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</si>
  <si>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</si>
  <si>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</si>
  <si>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</si>
  <si>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</si>
  <si>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</si>
  <si>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</si>
  <si>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</si>
  <si>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</si>
  <si>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</si>
  <si>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</si>
  <si>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</si>
  <si>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</si>
  <si>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</si>
  <si>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</si>
  <si>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</si>
  <si>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</si>
  <si>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</si>
  <si>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</si>
  <si>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</si>
  <si>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</si>
  <si>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</si>
  <si>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</si>
  <si>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</si>
  <si>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</si>
  <si>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</si>
  <si>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</si>
  <si>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</si>
  <si>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</si>
  <si>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</si>
  <si>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</si>
  <si>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</si>
  <si>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</si>
  <si>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</si>
  <si>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</si>
  <si>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</si>
  <si>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</si>
  <si>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</si>
  <si>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</si>
  <si>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</si>
  <si>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</si>
  <si>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</si>
  <si>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</si>
  <si>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</si>
  <si>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</si>
  <si>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</si>
  <si>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</si>
  <si>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</si>
  <si>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</si>
  <si>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</si>
  <si>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</si>
  <si>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</si>
  <si>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</si>
  <si>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</si>
  <si>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</si>
  <si>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</si>
  <si>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</si>
  <si>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</si>
  <si>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</si>
  <si>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</si>
  <si>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</si>
  <si>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</si>
  <si>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</si>
  <si>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</si>
  <si>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</si>
  <si>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</si>
  <si>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</si>
  <si>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</si>
  <si>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</si>
  <si>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</si>
  <si>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</si>
  <si>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</si>
  <si>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</si>
  <si>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</si>
  <si>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</si>
  <si>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</si>
  <si>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</si>
  <si>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</si>
  <si>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</si>
  <si>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</si>
  <si>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</si>
  <si>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</si>
  <si>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</si>
  <si>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</si>
  <si>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</si>
  <si>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</si>
  <si>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</si>
  <si>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</si>
  <si>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</si>
  <si>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</si>
  <si>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</si>
  <si>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</si>
  <si>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</si>
  <si>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</si>
  <si>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</si>
  <si>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</si>
  <si>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</si>
  <si>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</si>
  <si>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</si>
  <si>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</si>
  <si>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</si>
  <si>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</si>
  <si>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</si>
  <si>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</si>
  <si>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</si>
  <si>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</si>
  <si>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</si>
  <si>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</si>
  <si>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</si>
  <si>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</si>
  <si>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</si>
  <si>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</si>
  <si>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</si>
  <si>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</si>
  <si>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</si>
  <si>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</si>
  <si>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</si>
  <si>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</si>
  <si>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</si>
  <si>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</si>
  <si>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</si>
  <si>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</si>
  <si>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</si>
  <si>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</si>
  <si>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</si>
  <si>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</si>
  <si>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</si>
  <si>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</si>
  <si>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</si>
  <si>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</si>
  <si>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</si>
  <si>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</si>
  <si>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</si>
  <si>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</si>
  <si>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</si>
  <si>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</si>
  <si>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</si>
  <si>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</si>
  <si>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</si>
  <si>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</si>
  <si>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</si>
  <si>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</si>
  <si>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</si>
  <si>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</si>
  <si>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</si>
  <si>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</si>
  <si>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</si>
  <si>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</si>
  <si>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</si>
  <si>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</si>
  <si>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</si>
  <si>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</si>
  <si>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</si>
  <si>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</si>
  <si>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</si>
  <si>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</si>
  <si>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</si>
  <si>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</si>
  <si>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</si>
  <si>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</si>
  <si>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</si>
  <si>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</si>
  <si>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</si>
  <si>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</si>
  <si>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</si>
  <si>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</si>
  <si>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</si>
  <si>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</si>
  <si>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</si>
  <si>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</si>
  <si>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</si>
  <si>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</si>
  <si>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</si>
  <si>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</si>
  <si>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</si>
  <si>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</si>
  <si>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</si>
  <si>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</si>
  <si>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</si>
  <si>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</si>
  <si>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</si>
  <si>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</si>
  <si>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</si>
  <si>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</si>
  <si>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</si>
  <si>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</si>
  <si>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</si>
  <si>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</si>
  <si>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</si>
  <si>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</si>
  <si>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</si>
  <si>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</si>
  <si>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</si>
  <si>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</si>
  <si>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</si>
  <si>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</si>
  <si>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</si>
  <si>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</si>
  <si>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</si>
  <si>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</si>
  <si>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</si>
  <si>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</si>
  <si>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</si>
  <si>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</si>
  <si>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</si>
  <si>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</si>
  <si>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</si>
  <si>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</si>
  <si>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</si>
  <si>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</si>
  <si>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</si>
  <si>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</si>
  <si>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</si>
  <si>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</si>
  <si>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</si>
  <si>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</si>
  <si>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</si>
  <si>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</si>
  <si>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</si>
  <si>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</si>
  <si>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</si>
  <si>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</si>
  <si>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</si>
  <si>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</si>
  <si>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</si>
  <si>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</si>
  <si>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</si>
  <si>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</si>
  <si>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</si>
  <si>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</si>
  <si>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</si>
  <si>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</si>
  <si>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</si>
  <si>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</si>
  <si>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</si>
  <si>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</si>
  <si>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</si>
  <si>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</si>
  <si>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</si>
  <si>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</si>
  <si>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</si>
  <si>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</si>
  <si>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</si>
  <si>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</si>
  <si>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</si>
  <si>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</si>
  <si>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</si>
  <si>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</si>
  <si>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</si>
  <si>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</si>
  <si>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</si>
  <si>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</si>
  <si>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</si>
  <si>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</si>
  <si>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</si>
  <si>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</si>
  <si>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</si>
  <si>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</si>
  <si>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</si>
  <si>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</si>
  <si>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</si>
  <si>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</si>
  <si>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</si>
  <si>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</si>
  <si>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</si>
  <si>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</si>
  <si>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</si>
  <si>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</si>
  <si>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</si>
  <si>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</si>
  <si>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</si>
  <si>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</si>
  <si>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</si>
  <si>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</si>
  <si>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</si>
  <si>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</si>
  <si>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</si>
  <si>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</si>
  <si>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</si>
  <si>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</si>
  <si>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</si>
  <si>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</si>
  <si>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</si>
  <si>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</si>
  <si>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</si>
  <si>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</si>
  <si>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</si>
  <si>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</si>
  <si>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</si>
  <si>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</si>
  <si>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</si>
  <si>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</si>
  <si>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</si>
  <si>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</si>
  <si>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</si>
  <si>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</si>
  <si>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</si>
  <si>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</si>
  <si>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</si>
  <si>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</si>
  <si>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</si>
  <si>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</si>
  <si>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</si>
  <si>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</si>
  <si>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</si>
  <si>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</si>
  <si>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</si>
  <si>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</si>
  <si>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</si>
  <si>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</si>
  <si>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</si>
  <si>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</si>
  <si>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</si>
  <si>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</si>
  <si>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</si>
  <si>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</si>
  <si>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</si>
  <si>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</si>
  <si>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</si>
  <si>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</si>
  <si>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</si>
  <si>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</si>
  <si>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</si>
  <si>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</si>
  <si>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</si>
  <si>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</si>
  <si>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</si>
  <si>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</si>
  <si>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</si>
  <si>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</si>
  <si>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</si>
  <si>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</si>
  <si>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</si>
  <si>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</si>
  <si>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</si>
  <si>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</si>
  <si>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</si>
  <si>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</si>
  <si>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</si>
  <si>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</si>
  <si>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</si>
  <si>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</si>
  <si>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</si>
  <si>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</si>
  <si>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</si>
  <si>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</si>
  <si>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</si>
  <si>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</si>
  <si>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</si>
  <si>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</si>
  <si>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</si>
  <si>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</si>
  <si>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</si>
  <si>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</si>
  <si>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</si>
  <si>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</si>
  <si>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</si>
  <si>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</si>
  <si>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</si>
  <si>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</si>
  <si>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</si>
  <si>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</si>
  <si>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</si>
  <si>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</si>
  <si>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</si>
  <si>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</si>
  <si>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</si>
  <si>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</si>
  <si>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</si>
  <si>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</si>
  <si>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</si>
  <si>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</si>
  <si>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</si>
  <si>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</si>
  <si>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</si>
  <si>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</si>
  <si>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</si>
  <si>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</si>
  <si>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</si>
  <si>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</si>
  <si>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</si>
  <si>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</si>
  <si>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</si>
  <si>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</si>
  <si>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</si>
  <si>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</si>
  <si>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</si>
  <si>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</si>
  <si>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</si>
  <si>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</si>
  <si>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</si>
  <si>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</si>
  <si>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</si>
  <si>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</si>
  <si>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</si>
  <si>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</si>
  <si>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</si>
  <si>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</si>
  <si>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</si>
  <si>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</si>
  <si>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</si>
  <si>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</si>
  <si>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</si>
  <si>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</si>
  <si>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</si>
  <si>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</si>
  <si>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</si>
  <si>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</si>
  <si>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</si>
  <si>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</si>
  <si>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</si>
  <si>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</si>
  <si>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</si>
  <si>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</si>
  <si>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</si>
  <si>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</si>
  <si>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</si>
  <si>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</si>
  <si>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</si>
  <si>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</si>
  <si>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</si>
  <si>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</si>
  <si>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</si>
  <si>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</si>
  <si>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</si>
  <si>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</si>
  <si>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</si>
  <si>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</si>
  <si>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</si>
  <si>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</si>
  <si>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</si>
  <si>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</si>
  <si>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</si>
  <si>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</si>
  <si>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</si>
  <si>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</si>
  <si>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</si>
  <si>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</si>
  <si>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</si>
  <si>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</si>
  <si>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</si>
  <si>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</si>
  <si>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</si>
  <si>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</si>
  <si>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</si>
  <si>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</si>
  <si>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</si>
  <si>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</si>
  <si>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</si>
  <si>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</si>
  <si>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</si>
  <si>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</si>
  <si>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</si>
  <si>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</si>
  <si>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</si>
  <si>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</si>
  <si>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</si>
  <si>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</si>
  <si>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</si>
  <si>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</si>
  <si>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</si>
  <si>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</si>
  <si>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</si>
  <si>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</si>
  <si>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</si>
  <si>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</si>
  <si>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</si>
  <si>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</si>
  <si>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</si>
  <si>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</si>
  <si>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</si>
  <si>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</si>
  <si>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</si>
  <si>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</si>
  <si>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</si>
  <si>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</si>
  <si>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</si>
  <si>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</si>
  <si>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</si>
  <si>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</si>
  <si>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</si>
  <si>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</si>
  <si>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</si>
  <si>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</si>
  <si>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</si>
  <si>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</si>
  <si>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</si>
  <si>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</si>
  <si>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</si>
  <si>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</si>
  <si>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</si>
  <si>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</si>
  <si>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</si>
  <si>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</si>
  <si>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</si>
  <si>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</si>
  <si>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</si>
  <si>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</si>
  <si>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</si>
  <si>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</si>
  <si>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</si>
  <si>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</si>
  <si>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</si>
  <si>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</si>
  <si>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</si>
  <si>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</si>
  <si>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</si>
  <si>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</si>
  <si>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</si>
  <si>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</si>
  <si>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</si>
  <si>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</si>
  <si>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</si>
  <si>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</si>
  <si>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</si>
  <si>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</si>
  <si>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</si>
  <si>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</si>
  <si>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</si>
  <si>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</si>
  <si>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</si>
  <si>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</si>
  <si>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</si>
  <si>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</si>
  <si>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</si>
  <si>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</si>
  <si>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</si>
  <si>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</si>
  <si>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</si>
  <si>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</si>
  <si>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</si>
  <si>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</si>
  <si>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</si>
  <si>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</si>
  <si>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</si>
  <si>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</si>
  <si>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</si>
  <si>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</si>
  <si>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</si>
  <si>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</si>
  <si>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</si>
  <si>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</si>
  <si>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</si>
  <si>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</si>
  <si>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</si>
  <si>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</si>
  <si>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</si>
  <si>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</si>
  <si>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</si>
  <si>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</si>
  <si>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</si>
  <si>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</si>
  <si>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</si>
  <si>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</si>
  <si>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</si>
  <si>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</si>
  <si>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</si>
  <si>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</si>
  <si>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</si>
  <si>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</si>
  <si>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</si>
  <si>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</si>
  <si>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</si>
  <si>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</si>
  <si>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</si>
  <si>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</si>
  <si>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</si>
  <si>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</si>
  <si>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</si>
  <si>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</si>
  <si>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</si>
  <si>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</si>
  <si>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</si>
  <si>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</si>
  <si>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</si>
  <si>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</si>
  <si>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</si>
  <si>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</si>
  <si>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</si>
  <si>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</si>
  <si>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</si>
  <si>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</si>
  <si>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</si>
  <si>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</si>
  <si>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</si>
  <si>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</si>
  <si>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</si>
  <si>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</si>
  <si>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</si>
  <si>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</si>
  <si>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</si>
  <si>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</si>
  <si>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</si>
  <si>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</si>
  <si>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</si>
  <si>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</si>
  <si>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</si>
  <si>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</si>
  <si>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</si>
  <si>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</si>
  <si>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</si>
  <si>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</si>
  <si>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</si>
  <si>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</si>
  <si>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</si>
  <si>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</si>
  <si>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</si>
  <si>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</si>
  <si>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</si>
  <si>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</si>
  <si>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</si>
  <si>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</si>
  <si>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</si>
  <si>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</si>
  <si>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</si>
  <si>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</si>
  <si>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</si>
  <si>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</si>
  <si>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</si>
  <si>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</si>
  <si>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</si>
  <si>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</si>
  <si>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</si>
  <si>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</si>
  <si>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</si>
  <si>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</si>
  <si>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</si>
  <si>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</si>
  <si>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</si>
  <si>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</si>
  <si>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</si>
  <si>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</si>
  <si>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</si>
  <si>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</si>
  <si>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</si>
  <si>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</si>
  <si>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</si>
  <si>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</si>
  <si>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</si>
  <si>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</si>
  <si>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</si>
  <si>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</si>
  <si>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</si>
  <si>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</si>
  <si>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</si>
  <si>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</si>
  <si>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</si>
  <si>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</si>
  <si>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</si>
  <si>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</si>
  <si>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</si>
  <si>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</si>
  <si>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</si>
  <si>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</si>
  <si>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</si>
  <si>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</si>
  <si>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</si>
  <si>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</si>
  <si>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</si>
  <si>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</si>
  <si>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</si>
  <si>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</si>
  <si>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</si>
  <si>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</si>
  <si>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</si>
  <si>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</si>
  <si>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</si>
  <si>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</si>
  <si>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</si>
  <si>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</si>
  <si>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</si>
  <si>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</si>
  <si>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</si>
  <si>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</si>
  <si>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</si>
  <si>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</si>
  <si>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</si>
  <si>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</si>
  <si>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</si>
  <si>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</si>
  <si>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</si>
  <si>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</si>
  <si>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</si>
  <si>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</si>
  <si>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</si>
  <si>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</si>
  <si>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</si>
  <si>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</si>
  <si>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</si>
  <si>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</si>
  <si>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</si>
  <si>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</si>
  <si>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</si>
  <si>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</si>
  <si>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</si>
  <si>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</si>
  <si>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</si>
  <si>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</si>
  <si>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</si>
  <si>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</si>
  <si>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</si>
  <si>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</si>
  <si>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</si>
  <si>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</si>
  <si>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</si>
  <si>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</si>
  <si>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</si>
  <si>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</si>
  <si>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</si>
  <si>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</si>
  <si>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</si>
  <si>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</si>
  <si>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</si>
  <si>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</si>
  <si>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</si>
  <si>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</si>
  <si>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</si>
  <si>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</si>
  <si>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</si>
  <si>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</si>
  <si>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</si>
  <si>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</si>
  <si>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</si>
  <si>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</si>
  <si>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</si>
  <si>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</si>
  <si>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</si>
  <si>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</si>
  <si>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</si>
  <si>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</si>
  <si>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</si>
  <si>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</si>
  <si>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</si>
  <si>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</si>
  <si>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</si>
  <si>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</si>
  <si>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</si>
  <si>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</si>
  <si>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</si>
  <si>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</si>
  <si>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</si>
  <si>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</si>
  <si>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</si>
  <si>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</si>
  <si>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</si>
  <si>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</si>
  <si>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</si>
  <si>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</si>
  <si>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</si>
  <si>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</si>
  <si>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</si>
  <si>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</si>
  <si>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</si>
  <si>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</si>
  <si>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</si>
  <si>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</si>
  <si>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</si>
  <si>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</si>
  <si>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</si>
  <si>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</si>
  <si>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</si>
  <si>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</si>
  <si>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</si>
  <si>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</si>
  <si>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</si>
  <si>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</si>
  <si>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</si>
  <si>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</si>
  <si>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</si>
  <si>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</si>
  <si>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</si>
  <si>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</si>
  <si>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</si>
  <si>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</si>
  <si>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</si>
  <si>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</si>
  <si>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</si>
  <si>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</si>
  <si>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</si>
  <si>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</si>
  <si>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</si>
  <si>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</si>
  <si>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</si>
  <si>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</si>
  <si>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</si>
  <si>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</si>
  <si>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</si>
  <si>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</si>
  <si>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</si>
  <si>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</si>
  <si>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</si>
  <si>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</si>
  <si>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</si>
  <si>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</si>
  <si>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</si>
  <si>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</si>
  <si>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</si>
  <si>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</si>
  <si>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</si>
  <si>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</si>
  <si>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</si>
  <si>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</si>
  <si>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</si>
  <si>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</si>
  <si>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</si>
  <si>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</si>
  <si>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</si>
  <si>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</si>
  <si>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</si>
  <si>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</si>
  <si>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</si>
  <si>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</si>
  <si>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</si>
  <si>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</si>
  <si>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</si>
  <si>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</si>
  <si>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</si>
  <si>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</si>
  <si>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</si>
  <si>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</si>
  <si>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</si>
  <si>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</si>
  <si>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</si>
  <si>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</si>
  <si>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</si>
  <si>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</si>
  <si>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</si>
  <si>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</si>
  <si>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</si>
  <si>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</si>
  <si>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</si>
  <si>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</si>
  <si>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</si>
  <si>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</si>
  <si>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</si>
  <si>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</si>
  <si>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</si>
  <si>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</si>
  <si>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</si>
  <si>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</si>
  <si>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</si>
  <si>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</si>
  <si>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</si>
  <si>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</si>
  <si>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</si>
  <si>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</si>
  <si>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</si>
  <si>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</si>
  <si>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</si>
  <si>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</si>
  <si>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</si>
  <si>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</si>
  <si>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</si>
  <si>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</si>
  <si>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</si>
  <si>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</si>
  <si>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</si>
  <si>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</si>
  <si>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</si>
  <si>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</si>
  <si>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</si>
  <si>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</si>
  <si>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</si>
  <si>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</si>
  <si>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</si>
  <si>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</si>
  <si>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</si>
  <si>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</si>
  <si>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</si>
  <si>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</si>
  <si>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</si>
  <si>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</si>
  <si>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</si>
  <si>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</si>
  <si>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</si>
  <si>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</si>
  <si>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</si>
  <si>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</si>
  <si>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</si>
  <si>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</si>
  <si>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</si>
  <si>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</si>
  <si>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</si>
  <si>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</si>
  <si>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</si>
  <si>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</si>
  <si>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</si>
  <si>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</si>
  <si>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</si>
  <si>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</si>
  <si>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</si>
  <si>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</si>
  <si>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</si>
  <si>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</si>
  <si>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</si>
  <si>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</si>
  <si>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</si>
  <si>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</si>
  <si>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</si>
  <si>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</si>
  <si>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</si>
  <si>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</si>
  <si>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</si>
  <si>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</si>
  <si>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</si>
  <si>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</si>
  <si>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</si>
  <si>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</si>
  <si>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</si>
  <si>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</si>
  <si>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</si>
  <si>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</si>
  <si>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</si>
  <si>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</si>
  <si>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</si>
  <si>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</si>
  <si>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</si>
  <si>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</si>
  <si>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</si>
  <si>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</si>
  <si>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</si>
  <si>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</si>
  <si>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</si>
  <si>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</si>
  <si>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</si>
  <si>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</si>
  <si>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</si>
  <si>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</si>
  <si>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</si>
  <si>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</si>
  <si>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</si>
  <si>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</si>
  <si>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</si>
  <si>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</si>
  <si>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</si>
  <si>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</si>
  <si>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</si>
  <si>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</si>
  <si>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</si>
  <si>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</si>
  <si>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</si>
  <si>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</si>
  <si>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</si>
  <si>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</si>
  <si>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</si>
  <si>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</si>
  <si>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</si>
  <si>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</si>
  <si>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</si>
  <si>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</si>
  <si>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</si>
  <si>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</si>
  <si>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</si>
  <si>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</si>
  <si>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</si>
  <si>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</si>
  <si>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</si>
  <si>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Churn Analysis</t>
  </si>
  <si>
    <t>Total Customers</t>
  </si>
  <si>
    <t>Churned Customers</t>
  </si>
  <si>
    <t>Retained Customers</t>
  </si>
  <si>
    <t>Churn Rate</t>
  </si>
  <si>
    <t>Retention Rate</t>
  </si>
  <si>
    <t>Customer Status</t>
  </si>
  <si>
    <t>Number of Customers</t>
  </si>
  <si>
    <t xml:space="preserve"> </t>
  </si>
  <si>
    <t>Churned</t>
  </si>
  <si>
    <t>Retained</t>
  </si>
  <si>
    <t>Contract Type</t>
  </si>
  <si>
    <t>Tenure Group</t>
  </si>
  <si>
    <t>0–12 Months</t>
  </si>
  <si>
    <t>13–36 Months</t>
  </si>
  <si>
    <t>37+ Months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</si>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</sst>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6"/>
      <color theme="0"/>
      <name val="Aptos Narrow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3" fillId="0" borderId="0" xfId="0" applyFont="1"/>
    <xf numFmtId="9" fontId="0" fillId="0" borderId="0" xfId="1" applyFont="1"/>
    <xf numFmtId="0" fontId="4" fillId="2" borderId="0" xfId="0" applyFont="1" applyFill="1" applyAlignment="1">
      <alignment horizontal="center"/>
    </xf>
    <xf numFmtId="0" fontId="2" fillId="0" borderId="1" xfId="0" applyFont="1" applyBorder="1"/>
    <xf numFmtId="9" fontId="2" fillId="0" borderId="1" xfId="1" applyFont="1" applyBorder="1"/>
    <xf numFmtId="9" fontId="5" fillId="0" borderId="1" xfId="1" applyFont="1" applyBorder="1"/>
  </cellXfs>
  <cellStyles count="2">
    <cellStyle name="Normal" xfId="0" builtinId="0"/>
    <cellStyle name="Percent" xfId="1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1"/>
                </a:solidFill>
              </a:rPr>
              <a:t>Customer Churn vs Retention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tx2">
            <a:lumMod val="90000"/>
            <a:lumOff val="1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Churn_Summary!$E$3</c:f>
              <c:strCache>
                <c:ptCount val="1"/>
                <c:pt idx="0">
                  <c:v>Number of 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Churn_Summary!$D$4:$D$5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Churn_Summary!$E$4:$E$5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5-446D-BDE7-D7BEC13C4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1"/>
                </a:solidFill>
              </a:rPr>
              <a:t>Churn Rate by Contract Type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solidFill>
          <a:schemeClr val="tx2">
            <a:lumMod val="90000"/>
            <a:lumOff val="1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Churn_Summary!$D$10</c:f>
              <c:strCache>
                <c:ptCount val="1"/>
                <c:pt idx="0">
                  <c:v>Month-to-month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Churn_Summary!$E$9:$G$9</c15:sqref>
                  </c15:fullRef>
                </c:ext>
              </c:extLst>
              <c:f>Churn_Summary!$G$9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Churn_Summary!$E$10:$G$10</c15:sqref>
                  </c15:fullRef>
                </c:ext>
              </c:extLst>
              <c:f>Churn_Summary!$G$10</c:f>
              <c:numCache>
                <c:formatCode>General</c:formatCode>
                <c:ptCount val="1"/>
                <c:pt idx="0" formatCode="0%">
                  <c:v>0.42709677419354841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6-4CDC-BB1D-A5B16CA06C73}"/>
            </c:ext>
          </c:extLst>
        </c:ser>
        <c:ser>
          <c:idx val="1"/>
          <c:order val="1"/>
          <c:tx>
            <c:strRef>
              <c:f>Churn_Summary!$D$11</c:f>
              <c:strCache>
                <c:ptCount val="1"/>
                <c:pt idx="0">
                  <c:v>One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Churn_Summary!$E$9:$G$9</c15:sqref>
                  </c15:fullRef>
                </c:ext>
              </c:extLst>
              <c:f>Churn_Summary!$G$9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Churn_Summary!$E$11:$G$11</c15:sqref>
                  </c15:fullRef>
                </c:ext>
              </c:extLst>
              <c:f>Churn_Summary!$G$11</c:f>
              <c:numCache>
                <c:formatCode>General</c:formatCode>
                <c:ptCount val="1"/>
                <c:pt idx="0" formatCode="0%">
                  <c:v>0.11269517990495587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6-4CDC-BB1D-A5B16CA06C73}"/>
            </c:ext>
          </c:extLst>
        </c:ser>
        <c:ser>
          <c:idx val="2"/>
          <c:order val="2"/>
          <c:tx>
            <c:strRef>
              <c:f>Churn_Summary!$D$12</c:f>
              <c:strCache>
                <c:ptCount val="1"/>
                <c:pt idx="0">
                  <c:v>Two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Churn_Summary!$E$9:$G$9</c15:sqref>
                  </c15:fullRef>
                </c:ext>
              </c:extLst>
              <c:f>Churn_Summary!$G$9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Churn_Summary!$E$12:$G$12</c15:sqref>
                  </c15:fullRef>
                </c:ext>
              </c:extLst>
              <c:f>Churn_Summary!$G$12</c:f>
              <c:numCache>
                <c:formatCode>General</c:formatCode>
                <c:ptCount val="1"/>
                <c:pt idx="0" formatCode="0%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56-4CDC-BB1D-A5B16CA06C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1012608"/>
        <c:axId val="729375824"/>
      </c:barChart>
      <c:catAx>
        <c:axId val="1851012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9375824"/>
        <c:crosses val="autoZero"/>
        <c:auto val="1"/>
        <c:lblAlgn val="ctr"/>
        <c:lblOffset val="100"/>
        <c:noMultiLvlLbl val="0"/>
      </c:catAx>
      <c:valAx>
        <c:axId val="72937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01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1"/>
                </a:solidFill>
              </a:rPr>
              <a:t>Churn Rate by Customer Tenure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solidFill>
          <a:schemeClr val="tx2">
            <a:lumMod val="90000"/>
            <a:lumOff val="1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Churn_Summary!$D$16</c:f>
              <c:strCache>
                <c:ptCount val="1"/>
                <c:pt idx="0">
                  <c:v>0–12 Months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Churn_Summary!$E$15:$G$15</c15:sqref>
                  </c15:fullRef>
                </c:ext>
              </c:extLst>
              <c:f>Churn_Summary!$G$15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Churn_Summary!$E$16:$G$16</c15:sqref>
                  </c15:fullRef>
                </c:ext>
              </c:extLst>
              <c:f>Churn_Summary!$G$16</c:f>
              <c:numCache>
                <c:formatCode>General</c:formatCode>
                <c:ptCount val="1"/>
                <c:pt idx="0" formatCode="0%">
                  <c:v>0.47438243366880145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7-4FC8-94CC-15973E0F3DC2}"/>
            </c:ext>
          </c:extLst>
        </c:ser>
        <c:ser>
          <c:idx val="1"/>
          <c:order val="1"/>
          <c:tx>
            <c:strRef>
              <c:f>Churn_Summary!$D$17</c:f>
              <c:strCache>
                <c:ptCount val="1"/>
                <c:pt idx="0">
                  <c:v>13–36 Months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Churn_Summary!$E$15:$G$15</c15:sqref>
                  </c15:fullRef>
                </c:ext>
              </c:extLst>
              <c:f>Churn_Summary!$G$15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Churn_Summary!$E$17:$G$17</c15:sqref>
                  </c15:fullRef>
                </c:ext>
              </c:extLst>
              <c:f>Churn_Summary!$G$17</c:f>
              <c:numCache>
                <c:formatCode>General</c:formatCode>
                <c:ptCount val="1"/>
                <c:pt idx="0" formatCode="0%">
                  <c:v>0.25538793103448276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7-4FC8-94CC-15973E0F3DC2}"/>
            </c:ext>
          </c:extLst>
        </c:ser>
        <c:ser>
          <c:idx val="2"/>
          <c:order val="2"/>
          <c:tx>
            <c:strRef>
              <c:f>Churn_Summary!$D$18</c:f>
              <c:strCache>
                <c:ptCount val="1"/>
                <c:pt idx="0">
                  <c:v>37+ Months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Churn_Summary!$E$15:$G$15</c15:sqref>
                  </c15:fullRef>
                </c:ext>
              </c:extLst>
              <c:f>Churn_Summary!$G$15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Churn_Summary!$E$18:$G$18</c15:sqref>
                  </c15:fullRef>
                </c:ext>
              </c:extLst>
              <c:f>Churn_Summary!$G$18</c:f>
              <c:numCache>
                <c:formatCode>General</c:formatCode>
                <c:ptCount val="1"/>
                <c:pt idx="0" formatCode="0%">
                  <c:v>0.11929356881039653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87-4FC8-94CC-15973E0F3D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1068752"/>
        <c:axId val="729337424"/>
      </c:barChart>
      <c:catAx>
        <c:axId val="1851068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9337424"/>
        <c:crosses val="autoZero"/>
        <c:auto val="1"/>
        <c:lblAlgn val="ctr"/>
        <c:lblOffset val="100"/>
        <c:noMultiLvlLbl val="0"/>
      </c:catAx>
      <c:valAx>
        <c:axId val="7293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06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1"/>
                </a:solidFill>
              </a:rPr>
              <a:t>Churn Rate by Payment Method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solidFill>
          <a:schemeClr val="tx2">
            <a:lumMod val="90000"/>
            <a:lumOff val="1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Churn_Summary!$G$21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Churn_Summary!$D$22:$D$25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Churn_Summary!$G$22:$G$25</c:f>
              <c:numCache>
                <c:formatCode>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D7-4552-A314-FA8ADBBB9E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150768"/>
        <c:axId val="729373424"/>
      </c:barChart>
      <c:catAx>
        <c:axId val="658150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9373424"/>
        <c:crosses val="autoZero"/>
        <c:auto val="1"/>
        <c:lblAlgn val="ctr"/>
        <c:lblOffset val="100"/>
        <c:noMultiLvlLbl val="0"/>
      </c:catAx>
      <c:valAx>
        <c:axId val="72937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15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13</xdr:row>
      <xdr:rowOff>60959</xdr:rowOff>
    </xdr:from>
    <xdr:to>
      <xdr:col>6</xdr:col>
      <xdr:colOff>262468</xdr:colOff>
      <xdr:row>26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90E3D-1F9D-FFE4-7122-3BA3951C6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601134</xdr:colOff>
      <xdr:row>0</xdr:row>
      <xdr:rowOff>115146</xdr:rowOff>
    </xdr:from>
    <xdr:to>
      <xdr:col>6</xdr:col>
      <xdr:colOff>254001</xdr:colOff>
      <xdr:row>12</xdr:row>
      <xdr:rowOff>93132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951F70-49A6-F363-55C9-FC2D2BE87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342900</xdr:colOff>
      <xdr:row>0</xdr:row>
      <xdr:rowOff>110066</xdr:rowOff>
    </xdr:from>
    <xdr:to>
      <xdr:col>14</xdr:col>
      <xdr:colOff>152400</xdr:colOff>
      <xdr:row>12</xdr:row>
      <xdr:rowOff>101599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B714F4-62B6-D4BC-2690-EE914F269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338667</xdr:colOff>
      <xdr:row>13</xdr:row>
      <xdr:rowOff>67733</xdr:rowOff>
    </xdr:from>
    <xdr:to>
      <xdr:col>14</xdr:col>
      <xdr:colOff>143933</xdr:colOff>
      <xdr:row>26</xdr:row>
      <xdr:rowOff>80431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24847E-805F-8EA8-7783-B082961FC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1CD80D-A704-4613-ACF3-6EBB95270B35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AC47-20AD-474E-8413-DECFB116AE51}" name="telco_churn_cleaned" displayName="telco_churn_cleaned" ref="A1:U7044" tableType="queryTable" totalsRowShown="0">
  <autoFilter ref="A1:U7044" xr:uid="{EFE0AC47-20AD-474E-8413-DECFB116AE51}"/>
  <tableColumns count="21">
    <tableColumn id="1" xr3:uid="{3CD99846-2028-4B11-9325-32BA799B288A}" uniqueName="1" name="customerID" queryTableFieldId="1" dataDxfId="16"/>
    <tableColumn id="2" xr3:uid="{27252E43-D809-40F3-AABC-9018CABB200B}" uniqueName="2" name="gender" queryTableFieldId="2" dataDxfId="15"/>
    <tableColumn id="3" xr3:uid="{D7287F5A-7F28-4196-AC1B-8CCBD55A0192}" uniqueName="3" name="SeniorCitizen" queryTableFieldId="3"/>
    <tableColumn id="4" xr3:uid="{A5F9CFE6-0F56-4191-9FC0-F8BEB8754A5A}" uniqueName="4" name="Partner" queryTableFieldId="4" dataDxfId="14"/>
    <tableColumn id="5" xr3:uid="{2D5F0420-0A8D-49E9-9EFC-519B170436FE}" uniqueName="5" name="Dependents" queryTableFieldId="5" dataDxfId="13"/>
    <tableColumn id="6" xr3:uid="{778825B9-5892-4316-A818-41E169B79CC8}" uniqueName="6" name="tenure" queryTableFieldId="6"/>
    <tableColumn id="7" xr3:uid="{0F904000-5087-47B1-A8F7-543C63DFD7AF}" uniqueName="7" name="PhoneService" queryTableFieldId="7" dataDxfId="12"/>
    <tableColumn id="8" xr3:uid="{19117AB6-6BFF-4532-B0D7-9C5A80D5D92D}" uniqueName="8" name="MultipleLines" queryTableFieldId="8" dataDxfId="11"/>
    <tableColumn id="9" xr3:uid="{11A4C9CB-B6D3-4F5C-BCDA-C04B391E2EF3}" uniqueName="9" name="InternetService" queryTableFieldId="9" dataDxfId="10"/>
    <tableColumn id="10" xr3:uid="{D96838BD-B3D8-40DC-A31F-515238AE901B}" uniqueName="10" name="OnlineSecurity" queryTableFieldId="10" dataDxfId="9"/>
    <tableColumn id="11" xr3:uid="{95823BF3-1F07-4531-A05A-5468DDE1B014}" uniqueName="11" name="OnlineBackup" queryTableFieldId="11" dataDxfId="8"/>
    <tableColumn id="12" xr3:uid="{271B087B-E618-4067-8868-405351C44C28}" uniqueName="12" name="DeviceProtection" queryTableFieldId="12" dataDxfId="7"/>
    <tableColumn id="13" xr3:uid="{B1455D75-172E-44DB-BA03-B5B83543BAC9}" uniqueName="13" name="TechSupport" queryTableFieldId="13" dataDxfId="6"/>
    <tableColumn id="14" xr3:uid="{1382E06C-855B-4454-89B9-25D457EAAE1D}" uniqueName="14" name="StreamingTV" queryTableFieldId="14" dataDxfId="5"/>
    <tableColumn id="15" xr3:uid="{F233A627-F133-4B69-99F2-870C608158C2}" uniqueName="15" name="StreamingMovies" queryTableFieldId="15" dataDxfId="4"/>
    <tableColumn id="16" xr3:uid="{A12ABF6D-F364-4E75-9ECD-24202E9029C9}" uniqueName="16" name="Contract" queryTableFieldId="16" dataDxfId="3"/>
    <tableColumn id="17" xr3:uid="{E730274B-81A7-440B-A2EB-D1CE38F13FC3}" uniqueName="17" name="PaperlessBilling" queryTableFieldId="17" dataDxfId="2"/>
    <tableColumn id="18" xr3:uid="{4B854AB8-0B8A-4995-B747-3195CF40B2F5}" uniqueName="18" name="PaymentMethod" queryTableFieldId="18" dataDxfId="1"/>
    <tableColumn id="19" xr3:uid="{0891AA00-BC1B-4F8B-8B66-5555DA04ED36}" uniqueName="19" name="MonthlyCharges" queryTableFieldId="19"/>
    <tableColumn id="20" xr3:uid="{96C3CBA4-01C7-42F9-B0AE-2A7085050507}" uniqueName="20" name="TotalCharges" queryTableFieldId="20"/>
    <tableColumn id="21" xr3:uid="{1BC6B130-BE41-4D8E-89C4-604163BFDDE9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A2CF-BEEB-4B27-93D9-A2B67059C62F}">
  <dimension ref="A1:U7044"/>
  <sheetViews>
    <sheetView topLeftCell="L1" workbookViewId="0">
      <selection activeCell="R1" sqref="R1"/>
    </sheetView>
  </sheetViews>
  <sheetFormatPr defaultRowHeight="14.4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88671875" bestFit="1" customWidth="1"/>
    <col min="9" max="11" width="16.109375" bestFit="1" customWidth="1"/>
    <col min="12" max="12" width="17.6640625" bestFit="1" customWidth="1"/>
    <col min="13" max="14" width="16.109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16.5546875" bestFit="1" customWidth="1"/>
    <col min="20" max="20" width="14" bestFit="1" customWidth="1"/>
    <col min="21" max="21" width="8.1093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T490">
        <v>0</v>
      </c>
      <c r="U490" s="1" t="s">
        <v>24</v>
      </c>
    </row>
    <row r="491" spans="1:21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T755">
        <v>0</v>
      </c>
      <c r="U755" s="1" t="s">
        <v>24</v>
      </c>
    </row>
    <row r="756" spans="1:21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T938">
        <v>0</v>
      </c>
      <c r="U938" s="1" t="s">
        <v>24</v>
      </c>
    </row>
    <row r="939" spans="1:21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T1084">
        <v>0</v>
      </c>
      <c r="U1084" s="1" t="s">
        <v>24</v>
      </c>
    </row>
    <row r="1085" spans="1:21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T1342">
        <v>0</v>
      </c>
      <c r="U1342" s="1" t="s">
        <v>24</v>
      </c>
    </row>
    <row r="1343" spans="1:21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T3333">
        <v>0</v>
      </c>
      <c r="U3333" s="1" t="s">
        <v>24</v>
      </c>
    </row>
    <row r="3334" spans="1:21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T3828">
        <v>0</v>
      </c>
      <c r="U3828" s="1" t="s">
        <v>24</v>
      </c>
    </row>
    <row r="3829" spans="1:21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T4382">
        <v>0</v>
      </c>
      <c r="U4382" s="1" t="s">
        <v>24</v>
      </c>
    </row>
    <row r="4383" spans="1:21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T5220">
        <v>0</v>
      </c>
      <c r="U5220" s="1" t="s">
        <v>24</v>
      </c>
    </row>
    <row r="5221" spans="1:21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T6672">
        <v>0</v>
      </c>
      <c r="U6672" s="1" t="s">
        <v>24</v>
      </c>
    </row>
    <row r="6673" spans="1:21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T6756">
        <v>0</v>
      </c>
      <c r="U6756" s="1" t="s">
        <v>24</v>
      </c>
    </row>
    <row r="6757" spans="1:21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93A9-252E-4FF6-8E63-DC725AC94155}">
  <dimension ref="A1:G25"/>
  <sheetViews>
    <sheetView showGridLines="0" tabSelected="1" zoomScale="90" zoomScaleNormal="90" workbookViewId="0">
      <selection activeCell="B20" sqref="B20"/>
    </sheetView>
  </sheetViews>
  <sheetFormatPr defaultRowHeight="14.4"/>
  <cols>
    <col min="1" max="1" width="21" customWidth="1"/>
    <col min="2" max="2" width="32.6640625" customWidth="1"/>
    <col min="4" max="4" width="37.88671875" bestFit="1" customWidth="1"/>
    <col min="5" max="5" width="18.109375" customWidth="1"/>
    <col min="6" max="6" width="20.109375" customWidth="1"/>
    <col min="7" max="7" width="14.5546875" customWidth="1"/>
  </cols>
  <sheetData>
    <row r="1" spans="1:7" ht="21">
      <c r="A1" s="4" t="s">
        <v>7079</v>
      </c>
      <c r="B1" s="4"/>
      <c r="E1" t="s">
        <v>7087</v>
      </c>
    </row>
    <row r="3" spans="1:7">
      <c r="A3" s="5" t="s">
        <v>7080</v>
      </c>
      <c r="B3" s="5">
        <f>COUNTA(Customer_Data!A:A)-1</f>
        <v>7043</v>
      </c>
      <c r="D3" t="s">
        <v>7085</v>
      </c>
      <c r="E3" t="s">
        <v>7086</v>
      </c>
    </row>
    <row r="4" spans="1:7">
      <c r="A4" s="5" t="s">
        <v>7081</v>
      </c>
      <c r="B4" s="5">
        <f>COUNTIF(Customer_Data!U:U,"Yes")</f>
        <v>1869</v>
      </c>
      <c r="D4" t="s">
        <v>7088</v>
      </c>
      <c r="E4">
        <f>B4</f>
        <v>1869</v>
      </c>
    </row>
    <row r="5" spans="1:7">
      <c r="A5" s="5" t="s">
        <v>7082</v>
      </c>
      <c r="B5" s="5">
        <f>COUNTIF(Customer_Data!U:U,"No")</f>
        <v>5174</v>
      </c>
      <c r="D5" t="s">
        <v>7089</v>
      </c>
      <c r="E5" s="2">
        <f>B5</f>
        <v>5174</v>
      </c>
    </row>
    <row r="6" spans="1:7">
      <c r="A6" s="5" t="s">
        <v>7083</v>
      </c>
      <c r="B6" s="6">
        <f>B4/B3</f>
        <v>0.26536987079369589</v>
      </c>
    </row>
    <row r="7" spans="1:7">
      <c r="A7" s="5" t="s">
        <v>7084</v>
      </c>
      <c r="B7" s="7">
        <f>B5/B3</f>
        <v>0.73463012920630411</v>
      </c>
    </row>
    <row r="9" spans="1:7">
      <c r="D9" t="s">
        <v>7090</v>
      </c>
      <c r="E9" t="s">
        <v>7080</v>
      </c>
      <c r="F9" t="s">
        <v>7081</v>
      </c>
      <c r="G9" t="s">
        <v>7083</v>
      </c>
    </row>
    <row r="10" spans="1:7">
      <c r="D10" t="s">
        <v>27</v>
      </c>
      <c r="E10">
        <f>COUNTIF(Customer_Data!P:P,D10)</f>
        <v>3875</v>
      </c>
      <c r="F10">
        <f>COUNTIFS(Customer_Data!P:P,D10,Customer_Data!U:U,"Yes")</f>
        <v>1655</v>
      </c>
      <c r="G10" s="3">
        <f>F10/E10</f>
        <v>0.42709677419354841</v>
      </c>
    </row>
    <row r="11" spans="1:7">
      <c r="D11" t="s">
        <v>31</v>
      </c>
      <c r="E11">
        <f>COUNTIF(Customer_Data!P:P,D11)</f>
        <v>1473</v>
      </c>
      <c r="F11">
        <f>COUNTIFS(Customer_Data!P:P,D11,Customer_Data!U:U,"Yes")</f>
        <v>166</v>
      </c>
      <c r="G11" s="3">
        <f>F11/E11</f>
        <v>0.11269517990495587</v>
      </c>
    </row>
    <row r="12" spans="1:7">
      <c r="D12" t="s">
        <v>47</v>
      </c>
      <c r="E12">
        <f>COUNTIF(Customer_Data!P:P,D12)</f>
        <v>1695</v>
      </c>
      <c r="F12">
        <f>COUNTIFS(Customer_Data!P:P,D12,Customer_Data!U:U,"Yes")</f>
        <v>48</v>
      </c>
      <c r="G12" s="3">
        <f>F12/E12</f>
        <v>2.831858407079646E-2</v>
      </c>
    </row>
    <row r="15" spans="1:7">
      <c r="D15" t="s">
        <v>7091</v>
      </c>
      <c r="E15" t="s">
        <v>7080</v>
      </c>
      <c r="F15" t="s">
        <v>7081</v>
      </c>
      <c r="G15" t="s">
        <v>7083</v>
      </c>
    </row>
    <row r="16" spans="1:7">
      <c r="D16" t="s">
        <v>7092</v>
      </c>
      <c r="E16">
        <f>COUNTIFS(Customer_Data!F:F,"&gt;=0",Customer_Data!F:F,"&lt;=12")</f>
        <v>2186</v>
      </c>
      <c r="F16">
        <f>COUNTIFS(Customer_Data!F:F,"&gt;=0",Customer_Data!F:F,"&lt;=12",Customer_Data!U:U,"Yes")</f>
        <v>1037</v>
      </c>
      <c r="G16" s="3">
        <f>F16/E16</f>
        <v>0.47438243366880145</v>
      </c>
    </row>
    <row r="17" spans="4:7">
      <c r="D17" t="s">
        <v>7093</v>
      </c>
      <c r="E17">
        <f>COUNTIFS(Customer_Data!F:F,"&gt;12",Customer_Data!F:F,"&lt;=36")</f>
        <v>1856</v>
      </c>
      <c r="F17">
        <f>COUNTIFS(Customer_Data!F:F,"&gt;12",Customer_Data!F:F,"&lt;=36",Customer_Data!U:U,"Yes")</f>
        <v>474</v>
      </c>
      <c r="G17" s="3">
        <f>F17/E17</f>
        <v>0.25538793103448276</v>
      </c>
    </row>
    <row r="18" spans="4:7">
      <c r="D18" t="s">
        <v>7094</v>
      </c>
      <c r="E18">
        <f>COUNTIF(Customer_Data!F:F,"&gt;36")</f>
        <v>3001</v>
      </c>
      <c r="F18">
        <f>COUNTIFS(Customer_Data!F:F,"&gt;36",Customer_Data!U:U,"Yes")</f>
        <v>358</v>
      </c>
      <c r="G18" s="3">
        <f>F18/E18</f>
        <v>0.11929356881039653</v>
      </c>
    </row>
    <row r="21" spans="4:7">
      <c r="D21" t="s">
        <v>7095</v>
      </c>
      <c r="E21" t="s">
        <v>7080</v>
      </c>
      <c r="F21" t="s">
        <v>7081</v>
      </c>
      <c r="G21" t="s">
        <v>7083</v>
      </c>
    </row>
    <row r="22" spans="4:7">
      <c r="D22" t="s">
        <v>28</v>
      </c>
      <c r="E22">
        <f>COUNTIF(Customer_Data!R:R,D22)</f>
        <v>2365</v>
      </c>
      <c r="F22">
        <f>COUNTIFS(Customer_Data!R:R,D22,Customer_Data!U:U,"Yes")</f>
        <v>1071</v>
      </c>
      <c r="G22" s="3">
        <f>F22/E22</f>
        <v>0.45285412262156449</v>
      </c>
    </row>
    <row r="23" spans="4:7">
      <c r="D23" t="s">
        <v>32</v>
      </c>
      <c r="E23">
        <f>COUNTIF(Customer_Data!R:R,D23)</f>
        <v>1612</v>
      </c>
      <c r="F23">
        <f>COUNTIFS(Customer_Data!R:R,D23,Customer_Data!U:U,"Yes")</f>
        <v>308</v>
      </c>
      <c r="G23" s="3">
        <f t="shared" ref="G23:G25" si="0">F23/E23</f>
        <v>0.19106699751861042</v>
      </c>
    </row>
    <row r="24" spans="4:7">
      <c r="D24" t="s">
        <v>35</v>
      </c>
      <c r="E24">
        <f>COUNTIF(Customer_Data!R:R,D24)</f>
        <v>1544</v>
      </c>
      <c r="F24">
        <f>COUNTIFS(Customer_Data!R:R,D24,Customer_Data!U:U,"Yes")</f>
        <v>258</v>
      </c>
      <c r="G24" s="3">
        <f t="shared" si="0"/>
        <v>0.16709844559585493</v>
      </c>
    </row>
    <row r="25" spans="4:7">
      <c r="D25" t="s">
        <v>40</v>
      </c>
      <c r="E25">
        <f>COUNTIF(Customer_Data!R:R,D25)</f>
        <v>1522</v>
      </c>
      <c r="F25">
        <f>COUNTIFS(Customer_Data!R:R,D25,Customer_Data!U:U,"Yes")</f>
        <v>232</v>
      </c>
      <c r="G25" s="3">
        <f t="shared" si="0"/>
        <v>0.15243101182654403</v>
      </c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AE34EC-5952-49AA-BA95-7927E5C9B9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Churn_Summary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monu singh</dc:creator>
  <cp:lastModifiedBy>monu singh</cp:lastModifiedBy>
  <dcterms:created xsi:type="dcterms:W3CDTF">2026-10-09T21:54:40Z</dcterms:created>
  <dcterms:modified xsi:type="dcterms:W3CDTF">2026-10-10T21:54:10Z</dcterms:modified>
</cp:coreProperties>
</file>